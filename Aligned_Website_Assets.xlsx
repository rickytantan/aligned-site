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 Allocation" sheetId="1" state="visible" r:id="rId1"/>
    <sheet name="Summary" sheetId="2" state="visible" r:id="rId2"/>
    <sheet name="Photo Shoot List" sheetId="3" state="visible" r:id="rId3"/>
    <sheet name="Generation Queue" sheetId="4" state="visible" r:id="rId4"/>
  </sheets>
  <definedNames>
    <definedName name="_xlnm._FilterDatabase" localSheetId="0" hidden="1">'Asset Allocation'!$A$4:$K$78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F3E46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2F3E4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top"/>
    </xf>
    <xf numFmtId="0" fontId="6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0" fontId="4" fillId="0" borderId="1" applyAlignment="1" pivotButton="0" quotePrefix="0" xfId="0">
      <alignment horizontal="center"/>
    </xf>
    <xf numFmtId="0" fontId="4" fillId="4" borderId="1" pivotButton="0" quotePrefix="0" xfId="0"/>
    <xf numFmtId="0" fontId="4" fillId="6" borderId="1" pivotButton="0" quotePrefix="0" xfId="0"/>
    <xf numFmtId="0" fontId="4" fillId="5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58" customWidth="1" min="3" max="3"/>
    <col width="22" customWidth="1" min="4" max="4"/>
    <col width="34" customWidth="1" min="5" max="5"/>
    <col width="38" customWidth="1" min="6" max="6"/>
    <col width="11" customWidth="1" min="7" max="7"/>
    <col width="10" customWidth="1" min="8" max="8"/>
    <col width="12" customWidth="1" min="9" max="9"/>
    <col width="9" customWidth="1" min="10" max="10"/>
    <col width="72" customWidth="1" min="11" max="11"/>
  </cols>
  <sheetData>
    <row r="1">
      <c r="A1" s="1" t="inlineStr">
        <is>
          <t>Aligned V5 — Website Asset Allocation</t>
        </is>
      </c>
    </row>
    <row r="2">
      <c r="A2" s="2" t="inlineStr">
        <is>
          <t>Every image/video slot across the 6 pages. Status: Done = on disk &amp; wired · Generate = AI (OpenArt pipeline) · Real photo = must be shot/sourced · Reuse = point at an existing file, no new asset.</t>
        </is>
      </c>
    </row>
    <row r="4">
      <c r="A4" s="3" t="inlineStr">
        <is>
          <t>#</t>
        </is>
      </c>
      <c r="B4" s="3" t="inlineStr">
        <is>
          <t>Page</t>
        </is>
      </c>
      <c r="C4" s="3" t="inlineStr">
        <is>
          <t>Location on page (section / headline)</t>
        </is>
      </c>
      <c r="D4" s="3" t="inlineStr">
        <is>
          <t>Code ref</t>
        </is>
      </c>
      <c r="E4" s="3" t="inlineStr">
        <is>
          <t>Current source</t>
        </is>
      </c>
      <c r="F4" s="3" t="inlineStr">
        <is>
          <t>Target file</t>
        </is>
      </c>
      <c r="G4" s="3" t="inlineStr">
        <is>
          <t>Size</t>
        </is>
      </c>
      <c r="H4" s="3" t="inlineStr">
        <is>
          <t>Type</t>
        </is>
      </c>
      <c r="I4" s="3" t="inlineStr">
        <is>
          <t>Status</t>
        </is>
      </c>
      <c r="J4" s="3" t="inlineStr">
        <is>
          <t>Priority</t>
        </is>
      </c>
      <c r="K4" s="3" t="inlineStr">
        <is>
          <t>Notes / why</t>
        </is>
      </c>
    </row>
    <row r="5">
      <c r="A5" s="4" t="n">
        <v>1</v>
      </c>
      <c r="B5" s="5" t="inlineStr">
        <is>
          <t>Global</t>
        </is>
      </c>
      <c r="C5" s="6" t="inlineStr">
        <is>
          <t>Nav bar + footer logo (all 6 pages)</t>
        </is>
      </c>
      <c r="D5" s="5" t="inlineStr">
        <is>
          <t>all pages</t>
        </is>
      </c>
      <c r="E5" s="5" t="inlineStr">
        <is>
          <t>images/aligned-logo-white.png</t>
        </is>
      </c>
      <c r="F5" s="5" t="inlineStr">
        <is>
          <t>images/aligned-logo-white.png</t>
        </is>
      </c>
      <c r="G5" s="4" t="inlineStr">
        <is>
          <t>SVG-ish PNG</t>
        </is>
      </c>
      <c r="H5" s="4" t="inlineStr">
        <is>
          <t>Logo</t>
        </is>
      </c>
      <c r="I5" s="7" t="inlineStr">
        <is>
          <t>Done</t>
        </is>
      </c>
      <c r="J5" s="4" t="inlineStr">
        <is>
          <t>—</t>
        </is>
      </c>
      <c r="K5" s="6" t="inlineStr">
        <is>
          <t>Live. Dark variant aligned-logo-dark.png also on disk.</t>
        </is>
      </c>
    </row>
    <row r="6">
      <c r="A6" s="4" t="n">
        <v>2</v>
      </c>
      <c r="B6" s="5" t="inlineStr">
        <is>
          <t>Global</t>
        </is>
      </c>
      <c r="C6" s="6" t="inlineStr">
        <is>
          <t>Reviews badge strip</t>
        </is>
      </c>
      <c r="D6" s="5" t="inlineStr">
        <is>
          <t>index.html:741</t>
        </is>
      </c>
      <c r="E6" s="5" t="inlineStr">
        <is>
          <t>images/google-reviews.png</t>
        </is>
      </c>
      <c r="F6" s="5" t="inlineStr">
        <is>
          <t>images/google-reviews.png</t>
        </is>
      </c>
      <c r="G6" s="4" t="inlineStr">
        <is>
          <t>auto</t>
        </is>
      </c>
      <c r="H6" s="4" t="inlineStr">
        <is>
          <t>Graphic</t>
        </is>
      </c>
      <c r="I6" s="7" t="inlineStr">
        <is>
          <t>Done</t>
        </is>
      </c>
      <c r="J6" s="4" t="inlineStr">
        <is>
          <t>—</t>
        </is>
      </c>
      <c r="K6" s="6" t="inlineStr">
        <is>
          <t>Live.</t>
        </is>
      </c>
    </row>
    <row r="7">
      <c r="A7" s="4" t="n">
        <v>3</v>
      </c>
      <c r="B7" s="5" t="inlineStr">
        <is>
          <t>index</t>
        </is>
      </c>
      <c r="C7" s="6" t="inlineStr">
        <is>
          <t>Landing pop-up — 'RM50 off your first assessment' voucher tile</t>
        </is>
      </c>
      <c r="D7" s="5" t="inlineStr">
        <is>
          <t>index.html:887</t>
        </is>
      </c>
      <c r="E7" s="5" t="inlineStr">
        <is>
          <t>images/gonstead-exam.jpg (filler)</t>
        </is>
      </c>
      <c r="F7" s="5" t="inlineStr">
        <is>
          <t>images/banners/news-featured-offer.jpg</t>
        </is>
      </c>
      <c r="G7" s="4" t="inlineStr">
        <is>
          <t>16:9</t>
        </is>
      </c>
      <c r="H7" s="4" t="inlineStr">
        <is>
          <t>Photo</t>
        </is>
      </c>
      <c r="I7" s="8" t="inlineStr">
        <is>
          <t>Generate</t>
        </is>
      </c>
      <c r="J7" s="4" t="inlineStr">
        <is>
          <t>P2</t>
        </is>
      </c>
      <c r="K7" s="6" t="inlineStr">
        <is>
          <t>Shares one file with the news featured card. Bright, no scrim on this tile.</t>
        </is>
      </c>
    </row>
    <row r="8">
      <c r="A8" s="4" t="n">
        <v>4</v>
      </c>
      <c r="B8" s="5" t="inlineStr">
        <is>
          <t>index</t>
        </is>
      </c>
      <c r="C8" s="6" t="inlineStr">
        <is>
          <t>Hero — 'A New Definition Of Health' / 'Movement is freedom.'</t>
        </is>
      </c>
      <c r="D8" s="5" t="inlineStr">
        <is>
          <t>index.html:942-943</t>
        </is>
      </c>
      <c r="E8" s="5" t="inlineStr">
        <is>
          <t>images/hero-adjustment.mp4 + hero-poster.jpg</t>
        </is>
      </c>
      <c r="F8" s="5" t="inlineStr">
        <is>
          <t>images/hero-adjustment.mp4</t>
        </is>
      </c>
      <c r="G8" s="4" t="inlineStr">
        <is>
          <t>video</t>
        </is>
      </c>
      <c r="H8" s="4" t="inlineStr">
        <is>
          <t>Video</t>
        </is>
      </c>
      <c r="I8" s="7" t="inlineStr">
        <is>
          <t>Done</t>
        </is>
      </c>
      <c r="J8" s="4" t="inlineStr">
        <is>
          <t>—</t>
        </is>
      </c>
      <c r="K8" s="6" t="inlineStr">
        <is>
          <t>Live. Poster frame doubles as filler elsewhere — replace those, not this.</t>
        </is>
      </c>
    </row>
    <row r="9">
      <c r="A9" s="4" t="n">
        <v>5</v>
      </c>
      <c r="B9" s="5" t="inlineStr">
        <is>
          <t>index</t>
        </is>
      </c>
      <c r="C9" s="6" t="inlineStr">
        <is>
          <t>Belief section — 'Movement is freedom.' side image</t>
        </is>
      </c>
      <c r="D9" s="5" t="inlineStr">
        <is>
          <t>index.html:985</t>
        </is>
      </c>
      <c r="E9" s="5" t="inlineStr">
        <is>
          <t>picsum aligned-freedom-walk</t>
        </is>
      </c>
      <c r="F9" s="5" t="inlineStr">
        <is>
          <t>images/lifestyle/freedom-walk.jpg</t>
        </is>
      </c>
      <c r="G9" s="4" t="inlineStr">
        <is>
          <t>900x1125</t>
        </is>
      </c>
      <c r="H9" s="4" t="inlineStr">
        <is>
          <t>Photo</t>
        </is>
      </c>
      <c r="I9" s="8" t="inlineStr">
        <is>
          <t>Generate</t>
        </is>
      </c>
      <c r="J9" s="4" t="inlineStr">
        <is>
          <t>P2</t>
        </is>
      </c>
      <c r="K9" s="6" t="inlineStr">
        <is>
          <t>Anonymous lifestyle. Reuse conditions STYLE_PREFIX, bright/DAY mood.</t>
        </is>
      </c>
    </row>
    <row r="10">
      <c r="A10" s="4" t="n">
        <v>6</v>
      </c>
      <c r="B10" s="5" t="inlineStr">
        <is>
          <t>index</t>
        </is>
      </c>
      <c r="C10" s="6" t="inlineStr">
        <is>
          <t>Problem section background — 'Back pain, a stiff neck, or pain that keeps coming back?'</t>
        </is>
      </c>
      <c r="D10" s="5" t="inlineStr">
        <is>
          <t>index.html:997</t>
        </is>
      </c>
      <c r="E10" s="5" t="inlineStr">
        <is>
          <t>images/gonstead-exam.jpg (filler)</t>
        </is>
      </c>
      <c r="F10" s="5" t="inlineStr">
        <is>
          <t>images/conditions/back-pain.jpg</t>
        </is>
      </c>
      <c r="G10" s="4" t="inlineStr">
        <is>
          <t>16:9</t>
        </is>
      </c>
      <c r="H10" s="4" t="inlineStr">
        <is>
          <t>Photo</t>
        </is>
      </c>
      <c r="I10" s="9" t="inlineStr">
        <is>
          <t>Reuse</t>
        </is>
      </c>
      <c r="J10" s="4" t="inlineStr">
        <is>
          <t>P1</t>
        </is>
      </c>
      <c r="K10" s="6" t="inlineStr">
        <is>
          <t>No new asset. Already-generated back-pain.jpg is the right DIM mood and on-message.</t>
        </is>
      </c>
    </row>
    <row r="11">
      <c r="A11" s="4" t="n">
        <v>7</v>
      </c>
      <c r="B11" s="5" t="inlineStr">
        <is>
          <t>index</t>
        </is>
      </c>
      <c r="C11" s="6" t="inlineStr">
        <is>
          <t>'What are we helping you with?' condition deck (16 cards)</t>
        </is>
      </c>
      <c r="D11" s="5" t="inlineStr">
        <is>
          <t>index.html:1649 (JS)</t>
        </is>
      </c>
      <c r="E11" s="5" t="inlineStr">
        <is>
          <t>images/conditions/&lt;slug&gt;.jpg</t>
        </is>
      </c>
      <c r="F11" s="5" t="inlineStr">
        <is>
          <t>images/conditions/*.jpg</t>
        </is>
      </c>
      <c r="G11" s="4" t="inlineStr">
        <is>
          <t>640x420</t>
        </is>
      </c>
      <c r="H11" s="4" t="inlineStr">
        <is>
          <t>Photo</t>
        </is>
      </c>
      <c r="I11" s="7" t="inlineStr">
        <is>
          <t>Done</t>
        </is>
      </c>
      <c r="J11" s="4" t="inlineStr">
        <is>
          <t>—</t>
        </is>
      </c>
      <c r="K11" s="6" t="inlineStr">
        <is>
          <t>All 16 generated + wired. Shared with the chiropractic.html grid.</t>
        </is>
      </c>
    </row>
    <row r="12">
      <c r="A12" s="4" t="n">
        <v>8</v>
      </c>
      <c r="B12" s="5" t="inlineStr">
        <is>
          <t>index</t>
        </is>
      </c>
      <c r="C12" s="6" t="inlineStr">
        <is>
          <t>Our services — 'Chiro Adjustment' card</t>
        </is>
      </c>
      <c r="D12" s="5" t="inlineStr">
        <is>
          <t>index.html:1065</t>
        </is>
      </c>
      <c r="E12" s="5" t="inlineStr">
        <is>
          <t>images/gonstead-exam.jpg</t>
        </is>
      </c>
      <c r="F12" s="5" t="inlineStr">
        <is>
          <t>images/gonstead-exam.jpg</t>
        </is>
      </c>
      <c r="G12" s="4" t="inlineStr">
        <is>
          <t>auto</t>
        </is>
      </c>
      <c r="H12" s="4" t="inlineStr">
        <is>
          <t>Photo</t>
        </is>
      </c>
      <c r="I12" s="7" t="inlineStr">
        <is>
          <t>Done</t>
        </is>
      </c>
      <c r="J12" s="4" t="inlineStr">
        <is>
          <t>—</t>
        </is>
      </c>
      <c r="K12" s="6" t="inlineStr">
        <is>
          <t>Legitimate use — it is an actual adjustment photo, not filler.</t>
        </is>
      </c>
    </row>
    <row r="13">
      <c r="A13" s="4" t="n">
        <v>9</v>
      </c>
      <c r="B13" s="5" t="inlineStr">
        <is>
          <t>index</t>
        </is>
      </c>
      <c r="C13" s="6" t="inlineStr">
        <is>
          <t>Our services — 'Rehab' card</t>
        </is>
      </c>
      <c r="D13" s="5" t="inlineStr">
        <is>
          <t>index.html:1074</t>
        </is>
      </c>
      <c r="E13" s="5" t="inlineStr">
        <is>
          <t>images/chiro-physio-together.jpg</t>
        </is>
      </c>
      <c r="F13" s="5" t="inlineStr">
        <is>
          <t>images/chiro-physio-together.jpg</t>
        </is>
      </c>
      <c r="G13" s="4" t="inlineStr">
        <is>
          <t>auto</t>
        </is>
      </c>
      <c r="H13" s="4" t="inlineStr">
        <is>
          <t>Photo</t>
        </is>
      </c>
      <c r="I13" s="7" t="inlineStr">
        <is>
          <t>Done</t>
        </is>
      </c>
      <c r="J13" s="4" t="inlineStr">
        <is>
          <t>—</t>
        </is>
      </c>
      <c r="K13" s="6" t="inlineStr">
        <is>
          <t>Live.</t>
        </is>
      </c>
    </row>
    <row r="14">
      <c r="A14" s="4" t="n">
        <v>10</v>
      </c>
      <c r="B14" s="5" t="inlineStr">
        <is>
          <t>index</t>
        </is>
      </c>
      <c r="C14" s="6" t="inlineStr">
        <is>
          <t>Our services — 'Animal Chiro' card</t>
        </is>
      </c>
      <c r="D14" s="5" t="inlineStr">
        <is>
          <t>index.html:1083</t>
        </is>
      </c>
      <c r="E14" s="5" t="inlineStr">
        <is>
          <t>images/pet-senior-mobility.jpg</t>
        </is>
      </c>
      <c r="F14" s="5" t="inlineStr">
        <is>
          <t>images/pet-senior-mobility.jpg</t>
        </is>
      </c>
      <c r="G14" s="4" t="inlineStr">
        <is>
          <t>auto</t>
        </is>
      </c>
      <c r="H14" s="4" t="inlineStr">
        <is>
          <t>Photo</t>
        </is>
      </c>
      <c r="I14" s="7" t="inlineStr">
        <is>
          <t>Done</t>
        </is>
      </c>
      <c r="J14" s="4" t="inlineStr">
        <is>
          <t>—</t>
        </is>
      </c>
      <c r="K14" s="6" t="inlineStr">
        <is>
          <t>Live.</t>
        </is>
      </c>
    </row>
    <row r="15">
      <c r="A15" s="4" t="n">
        <v>11</v>
      </c>
      <c r="B15" s="5" t="inlineStr">
        <is>
          <t>index</t>
        </is>
      </c>
      <c r="C15" s="6" t="inlineStr">
        <is>
          <t>Gonstead banner — 'Five-point diagnostics, down to the millimetre.' — layer 01 Visualization</t>
        </is>
      </c>
      <c r="D15" s="5" t="inlineStr">
        <is>
          <t>index.html:1104</t>
        </is>
      </c>
      <c r="E15" s="5" t="inlineStr">
        <is>
          <t>images/gonstead-exam.jpg (filler)</t>
        </is>
      </c>
      <c r="F15" s="5" t="inlineStr">
        <is>
          <t>images/banners/gonstead-01-visualization.jpg</t>
        </is>
      </c>
      <c r="G15" s="4" t="inlineStr">
        <is>
          <t>16:9</t>
        </is>
      </c>
      <c r="H15" s="4" t="inlineStr">
        <is>
          <t>Photo</t>
        </is>
      </c>
      <c r="I15" s="8" t="inlineStr">
        <is>
          <t>Generate</t>
        </is>
      </c>
      <c r="J15" s="4" t="inlineStr">
        <is>
          <t>P1</t>
        </is>
      </c>
      <c r="K15" s="6" t="inlineStr">
        <is>
          <t>Hover layer must match tile data-i=0. Posture/gait read against a plain wall. Dark, face-safe, quiet centre.</t>
        </is>
      </c>
    </row>
    <row r="16">
      <c r="A16" s="4" t="n">
        <v>12</v>
      </c>
      <c r="B16" s="5" t="inlineStr">
        <is>
          <t>index</t>
        </is>
      </c>
      <c r="C16" s="6" t="inlineStr">
        <is>
          <t>Gonstead banner — 'Five-point diagnostics, down to the millimetre.' — layer 02 Instrumentation</t>
        </is>
      </c>
      <c r="D16" s="5" t="inlineStr">
        <is>
          <t>index.html:1105</t>
        </is>
      </c>
      <c r="E16" s="5" t="inlineStr">
        <is>
          <t>images/chiro-physio-together.jpg (filler)</t>
        </is>
      </c>
      <c r="F16" s="5" t="inlineStr">
        <is>
          <t>images/banners/gonstead-02-instrumentation.jpg</t>
        </is>
      </c>
      <c r="G16" s="4" t="inlineStr">
        <is>
          <t>16:9</t>
        </is>
      </c>
      <c r="H16" s="4" t="inlineStr">
        <is>
          <t>Photo</t>
        </is>
      </c>
      <c r="I16" s="8" t="inlineStr">
        <is>
          <t>Generate</t>
        </is>
      </c>
      <c r="J16" s="4" t="inlineStr">
        <is>
          <t>P1</t>
        </is>
      </c>
      <c r="K16" s="6" t="inlineStr">
        <is>
          <t>Nervoscope dual-probe close-up down the spine. The most distinctive Gonstead visual.</t>
        </is>
      </c>
    </row>
    <row r="17">
      <c r="A17" s="4" t="n">
        <v>13</v>
      </c>
      <c r="B17" s="5" t="inlineStr">
        <is>
          <t>index</t>
        </is>
      </c>
      <c r="C17" s="6" t="inlineStr">
        <is>
          <t>Gonstead banner — 'Five-point diagnostics, down to the millimetre.' — layer 03 Static palpation</t>
        </is>
      </c>
      <c r="D17" s="5" t="inlineStr">
        <is>
          <t>index.html:1106</t>
        </is>
      </c>
      <c r="E17" s="5" t="inlineStr">
        <is>
          <t>images/hero-poster.jpg (filler)</t>
        </is>
      </c>
      <c r="F17" s="5" t="inlineStr">
        <is>
          <t>images/banners/gonstead-03-static-palpation.jpg</t>
        </is>
      </c>
      <c r="G17" s="4" t="inlineStr">
        <is>
          <t>16:9</t>
        </is>
      </c>
      <c r="H17" s="4" t="inlineStr">
        <is>
          <t>Photo</t>
        </is>
      </c>
      <c r="I17" s="8" t="inlineStr">
        <is>
          <t>Generate</t>
        </is>
      </c>
      <c r="J17" s="4" t="inlineStr">
        <is>
          <t>P1</t>
        </is>
      </c>
      <c r="K17" s="6" t="inlineStr">
        <is>
          <t>Thumbs either side of the mid spine, patient prone.</t>
        </is>
      </c>
    </row>
    <row r="18">
      <c r="A18" s="4" t="n">
        <v>14</v>
      </c>
      <c r="B18" s="5" t="inlineStr">
        <is>
          <t>index</t>
        </is>
      </c>
      <c r="C18" s="6" t="inlineStr">
        <is>
          <t>Gonstead banner — 'Five-point diagnostics, down to the millimetre.' — layer 04 Motion palpation</t>
        </is>
      </c>
      <c r="D18" s="5" t="inlineStr">
        <is>
          <t>index.html:1107</t>
        </is>
      </c>
      <c r="E18" s="5" t="inlineStr">
        <is>
          <t>images/gonstead-exam.jpg (filler)</t>
        </is>
      </c>
      <c r="F18" s="5" t="inlineStr">
        <is>
          <t>images/banners/gonstead-04-motion-palpation.jpg</t>
        </is>
      </c>
      <c r="G18" s="4" t="inlineStr">
        <is>
          <t>16:9</t>
        </is>
      </c>
      <c r="H18" s="4" t="inlineStr">
        <is>
          <t>Photo</t>
        </is>
      </c>
      <c r="I18" s="8" t="inlineStr">
        <is>
          <t>Generate</t>
        </is>
      </c>
      <c r="J18" s="4" t="inlineStr">
        <is>
          <t>P1</t>
        </is>
      </c>
      <c r="K18" s="6" t="inlineStr">
        <is>
          <t>Torso rotated, hand guiding the lower spine. Sense of motion.</t>
        </is>
      </c>
    </row>
    <row r="19">
      <c r="A19" s="4" t="n">
        <v>15</v>
      </c>
      <c r="B19" s="5" t="inlineStr">
        <is>
          <t>index</t>
        </is>
      </c>
      <c r="C19" s="6" t="inlineStr">
        <is>
          <t>Gonstead banner — 'Five-point diagnostics, down to the millimetre.' — layer 05 X-ray analysis</t>
        </is>
      </c>
      <c r="D19" s="5" t="inlineStr">
        <is>
          <t>index.html:1108</t>
        </is>
      </c>
      <c r="E19" s="5" t="inlineStr">
        <is>
          <t>images/hero-poster.jpg (filler)</t>
        </is>
      </c>
      <c r="F19" s="5" t="inlineStr">
        <is>
          <t>images/banners/gonstead-05-xray-analysis.jpg</t>
        </is>
      </c>
      <c r="G19" s="4" t="inlineStr">
        <is>
          <t>16:9</t>
        </is>
      </c>
      <c r="H19" s="4" t="inlineStr">
        <is>
          <t>Photo</t>
        </is>
      </c>
      <c r="I19" s="8" t="inlineStr">
        <is>
          <t>Generate</t>
        </is>
      </c>
      <c r="J19" s="4" t="inlineStr">
        <is>
          <t>P1</t>
        </is>
      </c>
      <c r="K19" s="6" t="inlineStr">
        <is>
          <t>X-ray on a lightbox, ruler drawing measurement lines. This is the shot that pays off 'down to the millimetre'.</t>
        </is>
      </c>
    </row>
    <row r="20">
      <c r="A20" s="4" t="n">
        <v>16</v>
      </c>
      <c r="B20" s="5" t="inlineStr">
        <is>
          <t>index</t>
        </is>
      </c>
      <c r="C20" s="6" t="inlineStr">
        <is>
          <t>'The doctor behind every adjustment.' — Dr Daniel Tan card</t>
        </is>
      </c>
      <c r="D20" s="5" t="inlineStr">
        <is>
          <t>index.html:1162</t>
        </is>
      </c>
      <c r="E20" s="5" t="inlineStr">
        <is>
          <t>picsum aligned-dr-daniel-portrait</t>
        </is>
      </c>
      <c r="F20" s="5" t="inlineStr">
        <is>
          <t>images/team/dr-daniel.jpg</t>
        </is>
      </c>
      <c r="G20" s="4" t="inlineStr">
        <is>
          <t>500x700</t>
        </is>
      </c>
      <c r="H20" s="4" t="inlineStr">
        <is>
          <t>Portrait</t>
        </is>
      </c>
      <c r="I20" s="10" t="inlineStr">
        <is>
          <t>Real photo</t>
        </is>
      </c>
      <c r="J20" s="4" t="inlineStr">
        <is>
          <t>P1</t>
        </is>
      </c>
      <c r="K20" s="6" t="inlineStr">
        <is>
          <t>Real person. Same file as about.html:141 and shop.html:247.</t>
        </is>
      </c>
    </row>
    <row r="21">
      <c r="A21" s="4" t="n">
        <v>17</v>
      </c>
      <c r="B21" s="5" t="inlineStr">
        <is>
          <t>index</t>
        </is>
      </c>
      <c r="C21" s="6" t="inlineStr">
        <is>
          <t>'Happy patients.' — Mei story thumbnail</t>
        </is>
      </c>
      <c r="D21" s="5" t="inlineStr">
        <is>
          <t>index.html:1189</t>
        </is>
      </c>
      <c r="E21" s="5" t="inlineStr">
        <is>
          <t>picsum aligned-story-mei</t>
        </is>
      </c>
      <c r="F21" s="5" t="inlineStr">
        <is>
          <t>images/stories/mei.jpg</t>
        </is>
      </c>
      <c r="G21" s="4" t="inlineStr">
        <is>
          <t>800x500</t>
        </is>
      </c>
      <c r="H21" s="4" t="inlineStr">
        <is>
          <t>Photo</t>
        </is>
      </c>
      <c r="I21" s="10" t="inlineStr">
        <is>
          <t>Real photo</t>
        </is>
      </c>
      <c r="J21" s="4" t="inlineStr">
        <is>
          <t>P1</t>
        </is>
      </c>
      <c r="K21" s="6" t="inlineStr">
        <is>
          <t>Testimonial. An AI face here fabricates an endorsement — real patient w/ consent, or cut the section.</t>
        </is>
      </c>
    </row>
    <row r="22">
      <c r="A22" s="4" t="n">
        <v>18</v>
      </c>
      <c r="B22" s="5" t="inlineStr">
        <is>
          <t>index</t>
        </is>
      </c>
      <c r="C22" s="6" t="inlineStr">
        <is>
          <t>'Happy patients.' — Mei avatar</t>
        </is>
      </c>
      <c r="D22" s="5" t="inlineStr">
        <is>
          <t>index.html:1196</t>
        </is>
      </c>
      <c r="E22" s="5" t="inlineStr">
        <is>
          <t>picsum aligned-mei-face</t>
        </is>
      </c>
      <c r="F22" s="5" t="inlineStr">
        <is>
          <t>images/stories/mei-face.jpg</t>
        </is>
      </c>
      <c r="G22" s="4" t="inlineStr">
        <is>
          <t>100x100</t>
        </is>
      </c>
      <c r="H22" s="4" t="inlineStr">
        <is>
          <t>Portrait</t>
        </is>
      </c>
      <c r="I22" s="10" t="inlineStr">
        <is>
          <t>Real photo</t>
        </is>
      </c>
      <c r="J22" s="4" t="inlineStr">
        <is>
          <t>P1</t>
        </is>
      </c>
      <c r="K22" s="6" t="inlineStr">
        <is>
          <t>Same consent constraint.</t>
        </is>
      </c>
    </row>
    <row r="23">
      <c r="A23" s="4" t="n">
        <v>19</v>
      </c>
      <c r="B23" s="5" t="inlineStr">
        <is>
          <t>index</t>
        </is>
      </c>
      <c r="C23" s="6" t="inlineStr">
        <is>
          <t>'Happy patients.' — Arvind story thumbnail</t>
        </is>
      </c>
      <c r="D23" s="5" t="inlineStr">
        <is>
          <t>index.html:1203</t>
        </is>
      </c>
      <c r="E23" s="5" t="inlineStr">
        <is>
          <t>picsum aligned-story-arvind</t>
        </is>
      </c>
      <c r="F23" s="5" t="inlineStr">
        <is>
          <t>images/stories/arvind.jpg</t>
        </is>
      </c>
      <c r="G23" s="4" t="inlineStr">
        <is>
          <t>800x500</t>
        </is>
      </c>
      <c r="H23" s="4" t="inlineStr">
        <is>
          <t>Photo</t>
        </is>
      </c>
      <c r="I23" s="10" t="inlineStr">
        <is>
          <t>Real photo</t>
        </is>
      </c>
      <c r="J23" s="4" t="inlineStr">
        <is>
          <t>P1</t>
        </is>
      </c>
      <c r="K23" s="6" t="inlineStr">
        <is>
          <t>Same consent constraint.</t>
        </is>
      </c>
    </row>
    <row r="24">
      <c r="A24" s="4" t="n">
        <v>20</v>
      </c>
      <c r="B24" s="5" t="inlineStr">
        <is>
          <t>index</t>
        </is>
      </c>
      <c r="C24" s="6" t="inlineStr">
        <is>
          <t>'Happy patients.' — Arvind avatar</t>
        </is>
      </c>
      <c r="D24" s="5" t="inlineStr">
        <is>
          <t>index.html:1210</t>
        </is>
      </c>
      <c r="E24" s="5" t="inlineStr">
        <is>
          <t>picsum aligned-arvind-face</t>
        </is>
      </c>
      <c r="F24" s="5" t="inlineStr">
        <is>
          <t>images/stories/arvind-face.jpg</t>
        </is>
      </c>
      <c r="G24" s="4" t="inlineStr">
        <is>
          <t>100x100</t>
        </is>
      </c>
      <c r="H24" s="4" t="inlineStr">
        <is>
          <t>Portrait</t>
        </is>
      </c>
      <c r="I24" s="10" t="inlineStr">
        <is>
          <t>Real photo</t>
        </is>
      </c>
      <c r="J24" s="4" t="inlineStr">
        <is>
          <t>P1</t>
        </is>
      </c>
      <c r="K24" s="6" t="inlineStr">
        <is>
          <t>Same consent constraint.</t>
        </is>
      </c>
    </row>
    <row r="25">
      <c r="A25" s="4" t="n">
        <v>21</v>
      </c>
      <c r="B25" s="5" t="inlineStr">
        <is>
          <t>index</t>
        </is>
      </c>
      <c r="C25" s="6" t="inlineStr">
        <is>
          <t>'Happy patients.' — Faiz story thumbnail</t>
        </is>
      </c>
      <c r="D25" s="5" t="inlineStr">
        <is>
          <t>index.html:1217</t>
        </is>
      </c>
      <c r="E25" s="5" t="inlineStr">
        <is>
          <t>picsum aligned-story-faiz</t>
        </is>
      </c>
      <c r="F25" s="5" t="inlineStr">
        <is>
          <t>images/stories/faiz.jpg</t>
        </is>
      </c>
      <c r="G25" s="4" t="inlineStr">
        <is>
          <t>800x500</t>
        </is>
      </c>
      <c r="H25" s="4" t="inlineStr">
        <is>
          <t>Photo</t>
        </is>
      </c>
      <c r="I25" s="10" t="inlineStr">
        <is>
          <t>Real photo</t>
        </is>
      </c>
      <c r="J25" s="4" t="inlineStr">
        <is>
          <t>P1</t>
        </is>
      </c>
      <c r="K25" s="6" t="inlineStr">
        <is>
          <t>Same consent constraint.</t>
        </is>
      </c>
    </row>
    <row r="26">
      <c r="A26" s="4" t="n">
        <v>22</v>
      </c>
      <c r="B26" s="5" t="inlineStr">
        <is>
          <t>index</t>
        </is>
      </c>
      <c r="C26" s="6" t="inlineStr">
        <is>
          <t>'Happy patients.' — Faiz avatar</t>
        </is>
      </c>
      <c r="D26" s="5" t="inlineStr">
        <is>
          <t>index.html:1224</t>
        </is>
      </c>
      <c r="E26" s="5" t="inlineStr">
        <is>
          <t>picsum aligned-faiz-face</t>
        </is>
      </c>
      <c r="F26" s="5" t="inlineStr">
        <is>
          <t>images/stories/faiz-face.jpg</t>
        </is>
      </c>
      <c r="G26" s="4" t="inlineStr">
        <is>
          <t>100x100</t>
        </is>
      </c>
      <c r="H26" s="4" t="inlineStr">
        <is>
          <t>Portrait</t>
        </is>
      </c>
      <c r="I26" s="10" t="inlineStr">
        <is>
          <t>Real photo</t>
        </is>
      </c>
      <c r="J26" s="4" t="inlineStr">
        <is>
          <t>P1</t>
        </is>
      </c>
      <c r="K26" s="6" t="inlineStr">
        <is>
          <t>Same consent constraint.</t>
        </is>
      </c>
    </row>
    <row r="27">
      <c r="A27" s="4" t="n">
        <v>23</v>
      </c>
      <c r="B27" s="5" t="inlineStr">
        <is>
          <t>index</t>
        </is>
      </c>
      <c r="C27" s="6" t="inlineStr">
        <is>
          <t>Journey banner — 'Five steps, from listening to lasting.' — strip 01 Listen</t>
        </is>
      </c>
      <c r="D27" s="5" t="inlineStr">
        <is>
          <t>index.html:1236</t>
        </is>
      </c>
      <c r="E27" s="5" t="inlineStr">
        <is>
          <t>images/hero-poster.jpg (filler)</t>
        </is>
      </c>
      <c r="F27" s="5" t="inlineStr">
        <is>
          <t>images/banners/journey-01-listen.jpg</t>
        </is>
      </c>
      <c r="G27" s="4" t="inlineStr">
        <is>
          <t>3:4</t>
        </is>
      </c>
      <c r="H27" s="4" t="inlineStr">
        <is>
          <t>Photo</t>
        </is>
      </c>
      <c r="I27" s="8" t="inlineStr">
        <is>
          <t>Generate</t>
        </is>
      </c>
      <c r="J27" s="4" t="inlineStr">
        <is>
          <t>P2</t>
        </is>
      </c>
      <c r="K27" s="6" t="inlineStr">
        <is>
          <t>Consultation hands over a desk. Portrait strip.</t>
        </is>
      </c>
    </row>
    <row r="28">
      <c r="A28" s="4" t="n">
        <v>24</v>
      </c>
      <c r="B28" s="5" t="inlineStr">
        <is>
          <t>index</t>
        </is>
      </c>
      <c r="C28" s="6" t="inlineStr">
        <is>
          <t>Journey banner — 'Five steps, from listening to lasting.' — strip 02 Assess</t>
        </is>
      </c>
      <c r="D28" s="5" t="inlineStr">
        <is>
          <t>index.html:1237</t>
        </is>
      </c>
      <c r="E28" s="5" t="inlineStr">
        <is>
          <t>images/gonstead-exam.jpg (filler)</t>
        </is>
      </c>
      <c r="F28" s="5" t="inlineStr">
        <is>
          <t>images/banners/journey-02-assess.jpg</t>
        </is>
      </c>
      <c r="G28" s="4" t="inlineStr">
        <is>
          <t>3:4</t>
        </is>
      </c>
      <c r="H28" s="4" t="inlineStr">
        <is>
          <t>Photo</t>
        </is>
      </c>
      <c r="I28" s="8" t="inlineStr">
        <is>
          <t>Generate</t>
        </is>
      </c>
      <c r="J28" s="4" t="inlineStr">
        <is>
          <t>P2</t>
        </is>
      </c>
      <c r="K28" s="6" t="inlineStr">
        <is>
          <t>Hands checking hip level from behind.</t>
        </is>
      </c>
    </row>
    <row r="29">
      <c r="A29" s="4" t="n">
        <v>25</v>
      </c>
      <c r="B29" s="5" t="inlineStr">
        <is>
          <t>index</t>
        </is>
      </c>
      <c r="C29" s="6" t="inlineStr">
        <is>
          <t>Journey banner — 'Five steps, from listening to lasting.' — strip 03 Personalise</t>
        </is>
      </c>
      <c r="D29" s="5" t="inlineStr">
        <is>
          <t>index.html:1238</t>
        </is>
      </c>
      <c r="E29" s="5" t="inlineStr">
        <is>
          <t>images/chiro-physio-together.jpg (filler)</t>
        </is>
      </c>
      <c r="F29" s="5" t="inlineStr">
        <is>
          <t>images/banners/journey-03-personalise.jpg</t>
        </is>
      </c>
      <c r="G29" s="4" t="inlineStr">
        <is>
          <t>3:4</t>
        </is>
      </c>
      <c r="H29" s="4" t="inlineStr">
        <is>
          <t>Photo</t>
        </is>
      </c>
      <c r="I29" s="8" t="inlineStr">
        <is>
          <t>Generate</t>
        </is>
      </c>
      <c r="J29" s="4" t="inlineStr">
        <is>
          <t>P2</t>
        </is>
      </c>
      <c r="K29" s="6" t="inlineStr">
        <is>
          <t>Pen pointing at a lumbar vertebra on a spine model.</t>
        </is>
      </c>
    </row>
    <row r="30">
      <c r="A30" s="4" t="n">
        <v>26</v>
      </c>
      <c r="B30" s="5" t="inlineStr">
        <is>
          <t>index</t>
        </is>
      </c>
      <c r="C30" s="6" t="inlineStr">
        <is>
          <t>Journey banner — 'Five steps, from listening to lasting.' — strip 04 Restore</t>
        </is>
      </c>
      <c r="D30" s="5" t="inlineStr">
        <is>
          <t>index.html:1239</t>
        </is>
      </c>
      <c r="E30" s="5" t="inlineStr">
        <is>
          <t>images/hero-poster.jpg (filler)</t>
        </is>
      </c>
      <c r="F30" s="5" t="inlineStr">
        <is>
          <t>images/banners/journey-04-restore.jpg</t>
        </is>
      </c>
      <c r="G30" s="4" t="inlineStr">
        <is>
          <t>3:4</t>
        </is>
      </c>
      <c r="H30" s="4" t="inlineStr">
        <is>
          <t>Photo</t>
        </is>
      </c>
      <c r="I30" s="8" t="inlineStr">
        <is>
          <t>Generate</t>
        </is>
      </c>
      <c r="J30" s="4" t="inlineStr">
        <is>
          <t>P2</t>
        </is>
      </c>
      <c r="K30" s="6" t="inlineStr">
        <is>
          <t>Side-lying lumbar adjustment, hands stacked.</t>
        </is>
      </c>
    </row>
    <row r="31">
      <c r="A31" s="4" t="n">
        <v>27</v>
      </c>
      <c r="B31" s="5" t="inlineStr">
        <is>
          <t>index</t>
        </is>
      </c>
      <c r="C31" s="6" t="inlineStr">
        <is>
          <t>Journey banner — 'Five steps, from listening to lasting.' — strip 05 Maintain</t>
        </is>
      </c>
      <c r="D31" s="5" t="inlineStr">
        <is>
          <t>index.html:1240</t>
        </is>
      </c>
      <c r="E31" s="5" t="inlineStr">
        <is>
          <t>images/gonstead-exam.jpg (filler)</t>
        </is>
      </c>
      <c r="F31" s="5" t="inlineStr">
        <is>
          <t>images/banners/journey-05-maintain.jpg</t>
        </is>
      </c>
      <c r="G31" s="4" t="inlineStr">
        <is>
          <t>3:4</t>
        </is>
      </c>
      <c r="H31" s="4" t="inlineStr">
        <is>
          <t>Photo</t>
        </is>
      </c>
      <c r="I31" s="8" t="inlineStr">
        <is>
          <t>Generate</t>
        </is>
      </c>
      <c r="J31" s="4" t="inlineStr">
        <is>
          <t>P2</t>
        </is>
      </c>
      <c r="K31" s="6" t="inlineStr">
        <is>
          <t>Morning stretch in a park. The payoff frame.</t>
        </is>
      </c>
    </row>
    <row r="32">
      <c r="A32" s="4" t="n">
        <v>28</v>
      </c>
      <c r="B32" s="5" t="inlineStr">
        <is>
          <t>index</t>
        </is>
      </c>
      <c r="C32" s="6" t="inlineStr">
        <is>
          <t>'Collaborations &amp; experiences' marquee — Sports event support</t>
        </is>
      </c>
      <c r="D32" s="5" t="inlineStr">
        <is>
          <t>index.html:1281</t>
        </is>
      </c>
      <c r="E32" s="5" t="inlineStr">
        <is>
          <t>picsum aligned-collab-sports</t>
        </is>
      </c>
      <c r="F32" s="5" t="inlineStr">
        <is>
          <t>images/collab/sports.jpg</t>
        </is>
      </c>
      <c r="G32" s="4" t="inlineStr">
        <is>
          <t>640x420</t>
        </is>
      </c>
      <c r="H32" s="4" t="inlineStr">
        <is>
          <t>Photo</t>
        </is>
      </c>
      <c r="I32" s="10" t="inlineStr">
        <is>
          <t>Real photo</t>
        </is>
      </c>
      <c r="J32" s="4" t="inlineStr">
        <is>
          <t>P2</t>
        </is>
      </c>
      <c r="K32" s="6" t="inlineStr">
        <is>
          <t>Credibility claim about events you actually attended. Generating these would be fabrication. Pull from existing archive.</t>
        </is>
      </c>
    </row>
    <row r="33">
      <c r="A33" s="4" t="n">
        <v>29</v>
      </c>
      <c r="B33" s="5" t="inlineStr">
        <is>
          <t>index</t>
        </is>
      </c>
      <c r="C33" s="6" t="inlineStr">
        <is>
          <t>'Collaborations &amp; experiences' marquee — Gonstead seminars</t>
        </is>
      </c>
      <c r="D33" s="5" t="inlineStr">
        <is>
          <t>index.html:1282</t>
        </is>
      </c>
      <c r="E33" s="5" t="inlineStr">
        <is>
          <t>picsum aligned-collab-seminar</t>
        </is>
      </c>
      <c r="F33" s="5" t="inlineStr">
        <is>
          <t>images/collab/seminar.jpg</t>
        </is>
      </c>
      <c r="G33" s="4" t="inlineStr">
        <is>
          <t>640x420</t>
        </is>
      </c>
      <c r="H33" s="4" t="inlineStr">
        <is>
          <t>Photo</t>
        </is>
      </c>
      <c r="I33" s="10" t="inlineStr">
        <is>
          <t>Real photo</t>
        </is>
      </c>
      <c r="J33" s="4" t="inlineStr">
        <is>
          <t>P2</t>
        </is>
      </c>
      <c r="K33" s="6" t="inlineStr">
        <is>
          <t>Archive photo.</t>
        </is>
      </c>
    </row>
    <row r="34">
      <c r="A34" s="4" t="n">
        <v>30</v>
      </c>
      <c r="B34" s="5" t="inlineStr">
        <is>
          <t>index</t>
        </is>
      </c>
      <c r="C34" s="6" t="inlineStr">
        <is>
          <t>'Collaborations &amp; experiences' marquee — Corporate wellness talks</t>
        </is>
      </c>
      <c r="D34" s="5" t="inlineStr">
        <is>
          <t>index.html:1283</t>
        </is>
      </c>
      <c r="E34" s="5" t="inlineStr">
        <is>
          <t>picsum aligned-collab-corporate</t>
        </is>
      </c>
      <c r="F34" s="5" t="inlineStr">
        <is>
          <t>images/collab/corporate.jpg</t>
        </is>
      </c>
      <c r="G34" s="4" t="inlineStr">
        <is>
          <t>640x420</t>
        </is>
      </c>
      <c r="H34" s="4" t="inlineStr">
        <is>
          <t>Photo</t>
        </is>
      </c>
      <c r="I34" s="10" t="inlineStr">
        <is>
          <t>Real photo</t>
        </is>
      </c>
      <c r="J34" s="4" t="inlineStr">
        <is>
          <t>P2</t>
        </is>
      </c>
      <c r="K34" s="6" t="inlineStr">
        <is>
          <t>Archive photo.</t>
        </is>
      </c>
    </row>
    <row r="35">
      <c r="A35" s="4" t="n">
        <v>31</v>
      </c>
      <c r="B35" s="5" t="inlineStr">
        <is>
          <t>index</t>
        </is>
      </c>
      <c r="C35" s="6" t="inlineStr">
        <is>
          <t>'Collaborations &amp; experiences' marquee — Community screenings</t>
        </is>
      </c>
      <c r="D35" s="5" t="inlineStr">
        <is>
          <t>index.html:1284</t>
        </is>
      </c>
      <c r="E35" s="5" t="inlineStr">
        <is>
          <t>picsum aligned-collab-community</t>
        </is>
      </c>
      <c r="F35" s="5" t="inlineStr">
        <is>
          <t>images/collab/community.jpg</t>
        </is>
      </c>
      <c r="G35" s="4" t="inlineStr">
        <is>
          <t>640x420</t>
        </is>
      </c>
      <c r="H35" s="4" t="inlineStr">
        <is>
          <t>Photo</t>
        </is>
      </c>
      <c r="I35" s="10" t="inlineStr">
        <is>
          <t>Real photo</t>
        </is>
      </c>
      <c r="J35" s="4" t="inlineStr">
        <is>
          <t>P2</t>
        </is>
      </c>
      <c r="K35" s="6" t="inlineStr">
        <is>
          <t>Archive photo.</t>
        </is>
      </c>
    </row>
    <row r="36">
      <c r="A36" s="4" t="n">
        <v>32</v>
      </c>
      <c r="B36" s="5" t="inlineStr">
        <is>
          <t>index</t>
        </is>
      </c>
      <c r="C36" s="6" t="inlineStr">
        <is>
          <t>'Collaborations &amp; experiences' marquee — Working with athletes</t>
        </is>
      </c>
      <c r="D36" s="5" t="inlineStr">
        <is>
          <t>index.html:1285</t>
        </is>
      </c>
      <c r="E36" s="5" t="inlineStr">
        <is>
          <t>picsum aligned-collab-athletes</t>
        </is>
      </c>
      <c r="F36" s="5" t="inlineStr">
        <is>
          <t>images/collab/athletes.jpg</t>
        </is>
      </c>
      <c r="G36" s="4" t="inlineStr">
        <is>
          <t>640x420</t>
        </is>
      </c>
      <c r="H36" s="4" t="inlineStr">
        <is>
          <t>Photo</t>
        </is>
      </c>
      <c r="I36" s="10" t="inlineStr">
        <is>
          <t>Real photo</t>
        </is>
      </c>
      <c r="J36" s="4" t="inlineStr">
        <is>
          <t>P2</t>
        </is>
      </c>
      <c r="K36" s="6" t="inlineStr">
        <is>
          <t>Archive photo.</t>
        </is>
      </c>
    </row>
    <row r="37">
      <c r="A37" s="4" t="n">
        <v>33</v>
      </c>
      <c r="B37" s="5" t="inlineStr">
        <is>
          <t>index</t>
        </is>
      </c>
      <c r="C37" s="6" t="inlineStr">
        <is>
          <t>'Collaborations &amp; experiences' marquee — Overseas training</t>
        </is>
      </c>
      <c r="D37" s="5" t="inlineStr">
        <is>
          <t>index.html:1286</t>
        </is>
      </c>
      <c r="E37" s="5" t="inlineStr">
        <is>
          <t>picsum aligned-collab-training</t>
        </is>
      </c>
      <c r="F37" s="5" t="inlineStr">
        <is>
          <t>images/collab/training.jpg</t>
        </is>
      </c>
      <c r="G37" s="4" t="inlineStr">
        <is>
          <t>640x420</t>
        </is>
      </c>
      <c r="H37" s="4" t="inlineStr">
        <is>
          <t>Photo</t>
        </is>
      </c>
      <c r="I37" s="10" t="inlineStr">
        <is>
          <t>Real photo</t>
        </is>
      </c>
      <c r="J37" s="4" t="inlineStr">
        <is>
          <t>P2</t>
        </is>
      </c>
      <c r="K37" s="6" t="inlineStr">
        <is>
          <t>Archive photo.</t>
        </is>
      </c>
    </row>
    <row r="38">
      <c r="A38" s="4" t="n">
        <v>34</v>
      </c>
      <c r="B38" s="5" t="inlineStr">
        <is>
          <t>index</t>
        </is>
      </c>
      <c r="C38" s="6" t="inlineStr">
        <is>
          <t>'Collaborations &amp; experiences' marquee — loop duplicates (6 slots)</t>
        </is>
      </c>
      <c r="D38" s="5" t="inlineStr">
        <is>
          <t>index.html:1288-1293</t>
        </is>
      </c>
      <c r="E38" s="5" t="inlineStr">
        <is>
          <t>picsum aligned-collab-* (dupes)</t>
        </is>
      </c>
      <c r="F38" s="5" t="inlineStr">
        <is>
          <t>images/collab/*.jpg</t>
        </is>
      </c>
      <c r="G38" s="4" t="inlineStr">
        <is>
          <t>640x420</t>
        </is>
      </c>
      <c r="H38" s="4" t="inlineStr">
        <is>
          <t>Photo</t>
        </is>
      </c>
      <c r="I38" s="9" t="inlineStr">
        <is>
          <t>Reuse</t>
        </is>
      </c>
      <c r="J38" s="4" t="inlineStr">
        <is>
          <t>P2</t>
        </is>
      </c>
      <c r="K38" s="6" t="inlineStr">
        <is>
          <t>Marquee repeats the same 6 files for the seamless loop. No new assets — swap alongside 1281-1286.</t>
        </is>
      </c>
    </row>
    <row r="39">
      <c r="A39" s="4" t="n">
        <v>35</v>
      </c>
      <c r="B39" s="5" t="inlineStr">
        <is>
          <t>index</t>
        </is>
      </c>
      <c r="C39" s="6" t="inlineStr">
        <is>
          <t>'Now with Animal Chiro.' teaser</t>
        </is>
      </c>
      <c r="D39" s="5" t="inlineStr">
        <is>
          <t>index.html:1309</t>
        </is>
      </c>
      <c r="E39" s="5" t="inlineStr">
        <is>
          <t>picsum aligned-pet-chiro-dog</t>
        </is>
      </c>
      <c r="F39" s="5" t="inlineStr">
        <is>
          <t>images/pets/pet-chiro-dog.jpg</t>
        </is>
      </c>
      <c r="G39" s="4" t="inlineStr">
        <is>
          <t>900x700</t>
        </is>
      </c>
      <c r="H39" s="4" t="inlineStr">
        <is>
          <t>Photo</t>
        </is>
      </c>
      <c r="I39" s="8" t="inlineStr">
        <is>
          <t>Generate</t>
        </is>
      </c>
      <c r="J39" s="4" t="inlineStr">
        <is>
          <t>P2</t>
        </is>
      </c>
      <c r="K39" s="6" t="inlineStr">
        <is>
          <t>One generation, two crops — shared with pet-chiro.html:316 (1600x900).</t>
        </is>
      </c>
    </row>
    <row r="40">
      <c r="A40" s="4" t="n">
        <v>36</v>
      </c>
      <c r="B40" s="5" t="inlineStr">
        <is>
          <t>about</t>
        </is>
      </c>
      <c r="C40" s="6" t="inlineStr">
        <is>
          <t>Hero — 'The people behind Aligned.'</t>
        </is>
      </c>
      <c r="D40" s="5" t="inlineStr">
        <is>
          <t>about.html:109</t>
        </is>
      </c>
      <c r="E40" s="5" t="inlineStr">
        <is>
          <t>picsum aligned-team-photo</t>
        </is>
      </c>
      <c r="F40" s="5" t="inlineStr">
        <is>
          <t>images/team/team-photo.jpg</t>
        </is>
      </c>
      <c r="G40" s="4" t="inlineStr">
        <is>
          <t>1800x1000</t>
        </is>
      </c>
      <c r="H40" s="4" t="inlineStr">
        <is>
          <t>Photo</t>
        </is>
      </c>
      <c r="I40" s="10" t="inlineStr">
        <is>
          <t>Real photo</t>
        </is>
      </c>
      <c r="J40" s="4" t="inlineStr">
        <is>
          <t>P1</t>
        </is>
      </c>
      <c r="K40" s="6" t="inlineStr">
        <is>
          <t>Real staff group shot. Cannot be generated.</t>
        </is>
      </c>
    </row>
    <row r="41">
      <c r="A41" s="4" t="n">
        <v>37</v>
      </c>
      <c r="B41" s="5" t="inlineStr">
        <is>
          <t>about</t>
        </is>
      </c>
      <c r="C41" s="6" t="inlineStr">
        <is>
          <t>'Meet the team.' — Dr Daniel Tan</t>
        </is>
      </c>
      <c r="D41" s="5" t="inlineStr">
        <is>
          <t>about.html:141</t>
        </is>
      </c>
      <c r="E41" s="5" t="inlineStr">
        <is>
          <t>picsum aligned-dr-daniel-portrait</t>
        </is>
      </c>
      <c r="F41" s="5" t="inlineStr">
        <is>
          <t>images/team/dr-daniel.jpg</t>
        </is>
      </c>
      <c r="G41" s="4" t="inlineStr">
        <is>
          <t>500x700</t>
        </is>
      </c>
      <c r="H41" s="4" t="inlineStr">
        <is>
          <t>Portrait</t>
        </is>
      </c>
      <c r="I41" s="10" t="inlineStr">
        <is>
          <t>Real photo</t>
        </is>
      </c>
      <c r="J41" s="4" t="inlineStr">
        <is>
          <t>P1</t>
        </is>
      </c>
      <c r="K41" s="6" t="inlineStr">
        <is>
          <t>Real person. Also used at index.html:1162 and shop.html:247.</t>
        </is>
      </c>
    </row>
    <row r="42">
      <c r="A42" s="4" t="n">
        <v>38</v>
      </c>
      <c r="B42" s="5" t="inlineStr">
        <is>
          <t>about</t>
        </is>
      </c>
      <c r="C42" s="6" t="inlineStr">
        <is>
          <t>'Meet the team.' — Dr Sarah Lim</t>
        </is>
      </c>
      <c r="D42" s="5" t="inlineStr">
        <is>
          <t>about.html:167</t>
        </is>
      </c>
      <c r="E42" s="5" t="inlineStr">
        <is>
          <t>picsum aligned-dr-sarah-portrait</t>
        </is>
      </c>
      <c r="F42" s="5" t="inlineStr">
        <is>
          <t>images/team/dr-sarah.jpg</t>
        </is>
      </c>
      <c r="G42" s="4" t="inlineStr">
        <is>
          <t>500x700</t>
        </is>
      </c>
      <c r="H42" s="4" t="inlineStr">
        <is>
          <t>Portrait</t>
        </is>
      </c>
      <c r="I42" s="10" t="inlineStr">
        <is>
          <t>Real photo</t>
        </is>
      </c>
      <c r="J42" s="4" t="inlineStr">
        <is>
          <t>P1</t>
        </is>
      </c>
      <c r="K42" s="6" t="inlineStr">
        <is>
          <t>Real person.</t>
        </is>
      </c>
    </row>
    <row r="43">
      <c r="A43" s="4" t="n">
        <v>39</v>
      </c>
      <c r="B43" s="5" t="inlineStr">
        <is>
          <t>about</t>
        </is>
      </c>
      <c r="C43" s="6" t="inlineStr">
        <is>
          <t>'Meet the team.' — Dr Marcus Wong</t>
        </is>
      </c>
      <c r="D43" s="5" t="inlineStr">
        <is>
          <t>about.html:190</t>
        </is>
      </c>
      <c r="E43" s="5" t="inlineStr">
        <is>
          <t>picsum aligned-dr-marcus-portrait</t>
        </is>
      </c>
      <c r="F43" s="5" t="inlineStr">
        <is>
          <t>images/team/dr-marcus.jpg</t>
        </is>
      </c>
      <c r="G43" s="4" t="inlineStr">
        <is>
          <t>500x700</t>
        </is>
      </c>
      <c r="H43" s="4" t="inlineStr">
        <is>
          <t>Portrait</t>
        </is>
      </c>
      <c r="I43" s="10" t="inlineStr">
        <is>
          <t>Real photo</t>
        </is>
      </c>
      <c r="J43" s="4" t="inlineStr">
        <is>
          <t>P1</t>
        </is>
      </c>
      <c r="K43" s="6" t="inlineStr">
        <is>
          <t>Real person.</t>
        </is>
      </c>
    </row>
    <row r="44">
      <c r="A44" s="4" t="n">
        <v>40</v>
      </c>
      <c r="B44" s="5" t="inlineStr">
        <is>
          <t>about</t>
        </is>
      </c>
      <c r="C44" s="6" t="inlineStr">
        <is>
          <t>'Meet the team.' — Jasmine Ooi</t>
        </is>
      </c>
      <c r="D44" s="5" t="inlineStr">
        <is>
          <t>about.html:213</t>
        </is>
      </c>
      <c r="E44" s="5" t="inlineStr">
        <is>
          <t>picsum aligned-jasmine-portrait</t>
        </is>
      </c>
      <c r="F44" s="5" t="inlineStr">
        <is>
          <t>images/team/jasmine.jpg</t>
        </is>
      </c>
      <c r="G44" s="4" t="inlineStr">
        <is>
          <t>500x700</t>
        </is>
      </c>
      <c r="H44" s="4" t="inlineStr">
        <is>
          <t>Portrait</t>
        </is>
      </c>
      <c r="I44" s="10" t="inlineStr">
        <is>
          <t>Real photo</t>
        </is>
      </c>
      <c r="J44" s="4" t="inlineStr">
        <is>
          <t>P1</t>
        </is>
      </c>
      <c r="K44" s="6" t="inlineStr">
        <is>
          <t>Real person.</t>
        </is>
      </c>
    </row>
    <row r="45">
      <c r="A45" s="4" t="n">
        <v>41</v>
      </c>
      <c r="B45" s="5" t="inlineStr">
        <is>
          <t>about</t>
        </is>
      </c>
      <c r="C45" s="6" t="inlineStr">
        <is>
          <t>'Meet the team.' — Amanda Lee</t>
        </is>
      </c>
      <c r="D45" s="5" t="inlineStr">
        <is>
          <t>about.html:236</t>
        </is>
      </c>
      <c r="E45" s="5" t="inlineStr">
        <is>
          <t>picsum aligned-amanda-portrait</t>
        </is>
      </c>
      <c r="F45" s="5" t="inlineStr">
        <is>
          <t>images/team/amanda.jpg</t>
        </is>
      </c>
      <c r="G45" s="4" t="inlineStr">
        <is>
          <t>500x700</t>
        </is>
      </c>
      <c r="H45" s="4" t="inlineStr">
        <is>
          <t>Portrait</t>
        </is>
      </c>
      <c r="I45" s="10" t="inlineStr">
        <is>
          <t>Real photo</t>
        </is>
      </c>
      <c r="J45" s="4" t="inlineStr">
        <is>
          <t>P1</t>
        </is>
      </c>
      <c r="K45" s="6" t="inlineStr">
        <is>
          <t>Real person.</t>
        </is>
      </c>
    </row>
    <row r="46">
      <c r="A46" s="4" t="n">
        <v>42</v>
      </c>
      <c r="B46" s="5" t="inlineStr">
        <is>
          <t>about</t>
        </is>
      </c>
      <c r="C46" s="6" t="inlineStr">
        <is>
          <t>'Come see where the work happens.' — Reception, The Boulevard Mid Valley</t>
        </is>
      </c>
      <c r="D46" s="5" t="inlineStr">
        <is>
          <t>about.html:263</t>
        </is>
      </c>
      <c r="E46" s="5" t="inlineStr">
        <is>
          <t>picsum aligned-clinic-front</t>
        </is>
      </c>
      <c r="F46" s="5" t="inlineStr">
        <is>
          <t>images/clinic/front.jpg</t>
        </is>
      </c>
      <c r="G46" s="4" t="inlineStr">
        <is>
          <t>840x600</t>
        </is>
      </c>
      <c r="H46" s="4" t="inlineStr">
        <is>
          <t>Photo</t>
        </is>
      </c>
      <c r="I46" s="10" t="inlineStr">
        <is>
          <t>Real photo</t>
        </is>
      </c>
      <c r="J46" s="4" t="inlineStr">
        <is>
          <t>P1</t>
        </is>
      </c>
      <c r="K46" s="6" t="inlineStr">
        <is>
          <t>Patients compare this to what they see on arrival.</t>
        </is>
      </c>
    </row>
    <row r="47">
      <c r="A47" s="4" t="n">
        <v>43</v>
      </c>
      <c r="B47" s="5" t="inlineStr">
        <is>
          <t>about</t>
        </is>
      </c>
      <c r="C47" s="6" t="inlineStr">
        <is>
          <t>'Come see where the work happens.' — Adjustment rooms</t>
        </is>
      </c>
      <c r="D47" s="5" t="inlineStr">
        <is>
          <t>about.html:264</t>
        </is>
      </c>
      <c r="E47" s="5" t="inlineStr">
        <is>
          <t>picsum aligned-clinic-adjust</t>
        </is>
      </c>
      <c r="F47" s="5" t="inlineStr">
        <is>
          <t>images/clinic/adjust.jpg</t>
        </is>
      </c>
      <c r="G47" s="4" t="inlineStr">
        <is>
          <t>840x600</t>
        </is>
      </c>
      <c r="H47" s="4" t="inlineStr">
        <is>
          <t>Photo</t>
        </is>
      </c>
      <c r="I47" s="10" t="inlineStr">
        <is>
          <t>Real photo</t>
        </is>
      </c>
      <c r="J47" s="4" t="inlineStr">
        <is>
          <t>P1</t>
        </is>
      </c>
      <c r="K47" s="6" t="inlineStr">
        <is>
          <t>Actual room.</t>
        </is>
      </c>
    </row>
    <row r="48">
      <c r="A48" s="4" t="n">
        <v>44</v>
      </c>
      <c r="B48" s="5" t="inlineStr">
        <is>
          <t>about</t>
        </is>
      </c>
      <c r="C48" s="6" t="inlineStr">
        <is>
          <t>'Come see where the work happens.' — On-site X-ray suite</t>
        </is>
      </c>
      <c r="D48" s="5" t="inlineStr">
        <is>
          <t>about.html:265</t>
        </is>
      </c>
      <c r="E48" s="5" t="inlineStr">
        <is>
          <t>picsum aligned-clinic-xray</t>
        </is>
      </c>
      <c r="F48" s="5" t="inlineStr">
        <is>
          <t>images/clinic/xray.jpg</t>
        </is>
      </c>
      <c r="G48" s="4" t="inlineStr">
        <is>
          <t>840x600</t>
        </is>
      </c>
      <c r="H48" s="4" t="inlineStr">
        <is>
          <t>Photo</t>
        </is>
      </c>
      <c r="I48" s="10" t="inlineStr">
        <is>
          <t>Real photo</t>
        </is>
      </c>
      <c r="J48" s="4" t="inlineStr">
        <is>
          <t>P1</t>
        </is>
      </c>
      <c r="K48" s="6" t="inlineStr">
        <is>
          <t>Actual equipment — this is a differentiator claim.</t>
        </is>
      </c>
    </row>
    <row r="49">
      <c r="A49" s="4" t="n">
        <v>45</v>
      </c>
      <c r="B49" s="5" t="inlineStr">
        <is>
          <t>about</t>
        </is>
      </c>
      <c r="C49" s="6" t="inlineStr">
        <is>
          <t>'Come see where the work happens.' — Rehab &amp; movement corner</t>
        </is>
      </c>
      <c r="D49" s="5" t="inlineStr">
        <is>
          <t>about.html:266</t>
        </is>
      </c>
      <c r="E49" s="5" t="inlineStr">
        <is>
          <t>picsum aligned-clinic-rehab</t>
        </is>
      </c>
      <c r="F49" s="5" t="inlineStr">
        <is>
          <t>images/clinic/rehab.jpg</t>
        </is>
      </c>
      <c r="G49" s="4" t="inlineStr">
        <is>
          <t>840x600</t>
        </is>
      </c>
      <c r="H49" s="4" t="inlineStr">
        <is>
          <t>Photo</t>
        </is>
      </c>
      <c r="I49" s="10" t="inlineStr">
        <is>
          <t>Real photo</t>
        </is>
      </c>
      <c r="J49" s="4" t="inlineStr">
        <is>
          <t>P1</t>
        </is>
      </c>
      <c r="K49" s="6" t="inlineStr">
        <is>
          <t>Actual room.</t>
        </is>
      </c>
    </row>
    <row r="50">
      <c r="A50" s="4" t="n">
        <v>46</v>
      </c>
      <c r="B50" s="5" t="inlineStr">
        <is>
          <t>about</t>
        </is>
      </c>
      <c r="C50" s="6" t="inlineStr">
        <is>
          <t>'Right in Mid Valley City.' — location map</t>
        </is>
      </c>
      <c r="D50" s="5" t="inlineStr">
        <is>
          <t>about.html:290</t>
        </is>
      </c>
      <c r="E50" s="5" t="inlineStr">
        <is>
          <t>picsum aligned-map-midvalley</t>
        </is>
      </c>
      <c r="F50" s="5" t="inlineStr">
        <is>
          <t>Google Maps embed / static map</t>
        </is>
      </c>
      <c r="G50" s="4" t="inlineStr">
        <is>
          <t>900x620</t>
        </is>
      </c>
      <c r="H50" s="4" t="inlineStr">
        <is>
          <t>Map</t>
        </is>
      </c>
      <c r="I50" s="10" t="inlineStr">
        <is>
          <t>Real photo</t>
        </is>
      </c>
      <c r="J50" s="4" t="inlineStr">
        <is>
          <t>P1</t>
        </is>
      </c>
      <c r="K50" s="6" t="inlineStr">
        <is>
          <t>Not a photo at all. Use a Maps embed or Static Maps API screenshot of the real address.</t>
        </is>
      </c>
    </row>
    <row r="51">
      <c r="A51" s="4" t="n">
        <v>47</v>
      </c>
      <c r="B51" s="5" t="inlineStr">
        <is>
          <t>about</t>
        </is>
      </c>
      <c r="C51" s="6" t="inlineStr">
        <is>
          <t>Final CTA background — 'Now you know us. Let us get to know your spine.'</t>
        </is>
      </c>
      <c r="D51" s="5" t="inlineStr">
        <is>
          <t>about.html:299</t>
        </is>
      </c>
      <c r="E51" s="5" t="inlineStr">
        <is>
          <t>images/gonstead-exam.jpg (filler)</t>
        </is>
      </c>
      <c r="F51" s="5" t="inlineStr">
        <is>
          <t>images/banners/cta-adjustment.jpg</t>
        </is>
      </c>
      <c r="G51" s="4" t="inlineStr">
        <is>
          <t>16:9</t>
        </is>
      </c>
      <c r="H51" s="4" t="inlineStr">
        <is>
          <t>Photo</t>
        </is>
      </c>
      <c r="I51" s="8" t="inlineStr">
        <is>
          <t>Generate</t>
        </is>
      </c>
      <c r="J51" s="4" t="inlineStr">
        <is>
          <t>P1</t>
        </is>
      </c>
      <c r="K51" s="6" t="inlineStr">
        <is>
          <t>One shared CTA file across 4 pages. Subject in left third, dark negative space for the headline.</t>
        </is>
      </c>
    </row>
    <row r="52">
      <c r="A52" s="4" t="n">
        <v>48</v>
      </c>
      <c r="B52" s="5" t="inlineStr">
        <is>
          <t>chiropractic</t>
        </is>
      </c>
      <c r="C52" s="6" t="inlineStr">
        <is>
          <t>Founder hero — 'Built by an engineer. Trusted for a century.'</t>
        </is>
      </c>
      <c r="D52" s="5" t="inlineStr">
        <is>
          <t>chiropractic.html:193</t>
        </is>
      </c>
      <c r="E52" s="5" t="inlineStr">
        <is>
          <t>images/gonstead-hero.jpg</t>
        </is>
      </c>
      <c r="F52" s="5" t="inlineStr">
        <is>
          <t>images/gonstead-hero.jpg</t>
        </is>
      </c>
      <c r="G52" s="4" t="inlineStr">
        <is>
          <t>16:9</t>
        </is>
      </c>
      <c r="H52" s="4" t="inlineStr">
        <is>
          <t>Photo</t>
        </is>
      </c>
      <c r="I52" s="7" t="inlineStr">
        <is>
          <t>Done</t>
        </is>
      </c>
      <c r="J52" s="4" t="inlineStr">
        <is>
          <t>—</t>
        </is>
      </c>
      <c r="K52" s="6" t="inlineStr">
        <is>
          <t>Landed since the first scan. Was on my generate list; now wired.</t>
        </is>
      </c>
    </row>
    <row r="53">
      <c r="A53" s="4" t="n">
        <v>49</v>
      </c>
      <c r="B53" s="5" t="inlineStr">
        <is>
          <t>chiropractic</t>
        </is>
      </c>
      <c r="C53" s="6" t="inlineStr">
        <is>
          <t>Scroll-scrub — 'It all starts with the spine.'</t>
        </is>
      </c>
      <c r="D53" s="5" t="inlineStr">
        <is>
          <t>chiropractic.html:220</t>
        </is>
      </c>
      <c r="E53" s="5" t="inlineStr">
        <is>
          <t>images/gonstead-scrub.mp4 + method-poster.jpg</t>
        </is>
      </c>
      <c r="F53" s="5" t="inlineStr">
        <is>
          <t>images/gonstead-scrub.mp4</t>
        </is>
      </c>
      <c r="G53" s="4" t="inlineStr">
        <is>
          <t>video</t>
        </is>
      </c>
      <c r="H53" s="4" t="inlineStr">
        <is>
          <t>Video</t>
        </is>
      </c>
      <c r="I53" s="7" t="inlineStr">
        <is>
          <t>Done</t>
        </is>
      </c>
      <c r="J53" s="4" t="inlineStr">
        <is>
          <t>—</t>
        </is>
      </c>
      <c r="K53" s="6" t="inlineStr">
        <is>
          <t>Live. 720 fallback also on disk.</t>
        </is>
      </c>
    </row>
    <row r="54">
      <c r="A54" s="4" t="n">
        <v>50</v>
      </c>
      <c r="B54" s="5" t="inlineStr">
        <is>
          <t>chiropractic</t>
        </is>
      </c>
      <c r="C54" s="6" t="inlineStr">
        <is>
          <t>'Symptoms caused by misalignment.' grid (16 conditions)</t>
        </is>
      </c>
      <c r="D54" s="5" t="inlineStr">
        <is>
          <t>chiropractic.html:276-291</t>
        </is>
      </c>
      <c r="E54" s="5" t="inlineStr">
        <is>
          <t>images/conditions/&lt;slug&gt;.jpg</t>
        </is>
      </c>
      <c r="F54" s="5" t="inlineStr">
        <is>
          <t>images/conditions/*.jpg</t>
        </is>
      </c>
      <c r="G54" s="4" t="inlineStr">
        <is>
          <t>500x380</t>
        </is>
      </c>
      <c r="H54" s="4" t="inlineStr">
        <is>
          <t>Photo</t>
        </is>
      </c>
      <c r="I54" s="7" t="inlineStr">
        <is>
          <t>Done</t>
        </is>
      </c>
      <c r="J54" s="4" t="inlineStr">
        <is>
          <t>—</t>
        </is>
      </c>
      <c r="K54" s="6" t="inlineStr">
        <is>
          <t>All 16 wired. NOTE: alt text still empty on these cards — fill while finalising.</t>
        </is>
      </c>
    </row>
    <row r="55">
      <c r="A55" s="4" t="n">
        <v>51</v>
      </c>
      <c r="B55" s="5" t="inlineStr">
        <is>
          <t>chiropractic</t>
        </is>
      </c>
      <c r="C55" s="6" t="inlineStr">
        <is>
          <t>Final CTA background — 'Stop living in pain. Find out what is causing it.'</t>
        </is>
      </c>
      <c r="D55" s="5" t="inlineStr">
        <is>
          <t>chiropractic.html:385</t>
        </is>
      </c>
      <c r="E55" s="5" t="inlineStr">
        <is>
          <t>images/gonstead-exam.jpg (filler)</t>
        </is>
      </c>
      <c r="F55" s="5" t="inlineStr">
        <is>
          <t>images/banners/cta-adjustment.jpg</t>
        </is>
      </c>
      <c r="G55" s="4" t="inlineStr">
        <is>
          <t>16:9</t>
        </is>
      </c>
      <c r="H55" s="4" t="inlineStr">
        <is>
          <t>Photo</t>
        </is>
      </c>
      <c r="I55" s="9" t="inlineStr">
        <is>
          <t>Reuse</t>
        </is>
      </c>
      <c r="J55" s="4" t="inlineStr">
        <is>
          <t>P1</t>
        </is>
      </c>
      <c r="K55" s="6" t="inlineStr">
        <is>
          <t>Same shared CTA file as about/shop/news.</t>
        </is>
      </c>
    </row>
    <row r="56">
      <c r="A56" s="4" t="n">
        <v>52</v>
      </c>
      <c r="B56" s="5" t="inlineStr">
        <is>
          <t>pet-chiro</t>
        </is>
      </c>
      <c r="C56" s="6" t="inlineStr">
        <is>
          <t>Hero — 'Your dog is not getting lazy or old, he's actually stuck.'</t>
        </is>
      </c>
      <c r="D56" s="5" t="inlineStr">
        <is>
          <t>pet-chiro.html:151</t>
        </is>
      </c>
      <c r="E56" s="5" t="inlineStr">
        <is>
          <t>images/pet-chiro-hero.jpg</t>
        </is>
      </c>
      <c r="F56" s="5" t="inlineStr">
        <is>
          <t>images/pet-chiro-hero.jpg</t>
        </is>
      </c>
      <c r="G56" s="4" t="inlineStr">
        <is>
          <t>16:9</t>
        </is>
      </c>
      <c r="H56" s="4" t="inlineStr">
        <is>
          <t>Photo</t>
        </is>
      </c>
      <c r="I56" s="7" t="inlineStr">
        <is>
          <t>Done</t>
        </is>
      </c>
      <c r="J56" s="4" t="inlineStr">
        <is>
          <t>—</t>
        </is>
      </c>
      <c r="K56" s="6" t="inlineStr">
        <is>
          <t>Landed since the first scan.</t>
        </is>
      </c>
    </row>
    <row r="57">
      <c r="A57" s="4" t="n">
        <v>53</v>
      </c>
      <c r="B57" s="5" t="inlineStr">
        <is>
          <t>pet-chiro</t>
        </is>
      </c>
      <c r="C57" s="6" t="inlineStr">
        <is>
          <t>'His spine works exactly like yours.' section</t>
        </is>
      </c>
      <c r="D57" s="5" t="inlineStr">
        <is>
          <t>pet-chiro.html:184</t>
        </is>
      </c>
      <c r="E57" s="5" t="inlineStr">
        <is>
          <t>picsum aligned-dog-spine</t>
        </is>
      </c>
      <c r="F57" s="5" t="inlineStr">
        <is>
          <t>images/pets/dog-spine.jpg</t>
        </is>
      </c>
      <c r="G57" s="4" t="inlineStr">
        <is>
          <t>900x1125</t>
        </is>
      </c>
      <c r="H57" s="4" t="inlineStr">
        <is>
          <t>Photo</t>
        </is>
      </c>
      <c r="I57" s="8" t="inlineStr">
        <is>
          <t>Generate</t>
        </is>
      </c>
      <c r="J57" s="4" t="inlineStr">
        <is>
          <t>P1</t>
        </is>
      </c>
      <c r="K57" s="6" t="inlineStr">
        <is>
          <t>Ideal fit for the 痛点 X-ray v2 style — dog skeleton overlay, glowing spine, dark background. Sells the whole section's argument.</t>
        </is>
      </c>
    </row>
    <row r="58">
      <c r="A58" s="4" t="n">
        <v>54</v>
      </c>
      <c r="B58" s="5" t="inlineStr">
        <is>
          <t>pet-chiro</t>
        </is>
      </c>
      <c r="C58" s="6" t="inlineStr">
        <is>
          <t>'Watch what he does, not what he says.' grid (12 signs)</t>
        </is>
      </c>
      <c r="D58" s="5" t="inlineStr">
        <is>
          <t>pet-chiro.html:199-210</t>
        </is>
      </c>
      <c r="E58" s="5" t="inlineStr">
        <is>
          <t>images/pet-signs/&lt;slug&gt;.jpg</t>
        </is>
      </c>
      <c r="F58" s="5" t="inlineStr">
        <is>
          <t>images/pet-signs/*.jpg</t>
        </is>
      </c>
      <c r="G58" s="4" t="inlineStr">
        <is>
          <t>500x380</t>
        </is>
      </c>
      <c r="H58" s="4" t="inlineStr">
        <is>
          <t>Photo</t>
        </is>
      </c>
      <c r="I58" s="7" t="inlineStr">
        <is>
          <t>Done</t>
        </is>
      </c>
      <c r="J58" s="4" t="inlineStr">
        <is>
          <t>—</t>
        </is>
      </c>
      <c r="K58" s="6" t="inlineStr">
        <is>
          <t>All 12 wired. NOTE: alt text still empty on these cards.</t>
        </is>
      </c>
    </row>
    <row r="59">
      <c r="A59" s="4" t="n">
        <v>55</v>
      </c>
      <c r="B59" s="5" t="inlineStr">
        <is>
          <t>pet-chiro</t>
        </is>
      </c>
      <c r="C59" s="6" t="inlineStr">
        <is>
          <t>'Chiropractic, translated for four legs.'</t>
        </is>
      </c>
      <c r="D59" s="5" t="inlineStr">
        <is>
          <t>pet-chiro.html:232</t>
        </is>
      </c>
      <c r="E59" s="5" t="inlineStr">
        <is>
          <t>images/pet-gentle-adjust.jpg</t>
        </is>
      </c>
      <c r="F59" s="5" t="inlineStr">
        <is>
          <t>images/pet-gentle-adjust.jpg</t>
        </is>
      </c>
      <c r="G59" s="4" t="inlineStr">
        <is>
          <t>900x1125</t>
        </is>
      </c>
      <c r="H59" s="4" t="inlineStr">
        <is>
          <t>Photo</t>
        </is>
      </c>
      <c r="I59" s="7" t="inlineStr">
        <is>
          <t>Done</t>
        </is>
      </c>
      <c r="J59" s="4" t="inlineStr">
        <is>
          <t>—</t>
        </is>
      </c>
      <c r="K59" s="6" t="inlineStr">
        <is>
          <t>Landed since the first scan.</t>
        </is>
      </c>
    </row>
    <row r="60">
      <c r="A60" s="4" t="n">
        <v>56</v>
      </c>
      <c r="B60" s="5" t="inlineStr">
        <is>
          <t>pet-chiro</t>
        </is>
      </c>
      <c r="C60" s="6" t="inlineStr">
        <is>
          <t>'From senior nappers to weekend sprinters.' — Senior pets</t>
        </is>
      </c>
      <c r="D60" s="5" t="inlineStr">
        <is>
          <t>pet-chiro.html:245</t>
        </is>
      </c>
      <c r="E60" s="5" t="inlineStr">
        <is>
          <t>picsum aligned-senior-dog</t>
        </is>
      </c>
      <c r="F60" s="5" t="inlineStr">
        <is>
          <t>images/pets/senior-dog.jpg</t>
        </is>
      </c>
      <c r="G60" s="4" t="inlineStr">
        <is>
          <t>500x450</t>
        </is>
      </c>
      <c r="H60" s="4" t="inlineStr">
        <is>
          <t>Photo</t>
        </is>
      </c>
      <c r="I60" s="8" t="inlineStr">
        <is>
          <t>Generate</t>
        </is>
      </c>
      <c r="J60" s="4" t="inlineStr">
        <is>
          <t>P2</t>
        </is>
      </c>
      <c r="K60" s="6" t="inlineStr">
        <is>
          <t>Extend the pet-signs set. Candid home settings.</t>
        </is>
      </c>
    </row>
    <row r="61">
      <c r="A61" s="4" t="n">
        <v>57</v>
      </c>
      <c r="B61" s="5" t="inlineStr">
        <is>
          <t>pet-chiro</t>
        </is>
      </c>
      <c r="C61" s="6" t="inlineStr">
        <is>
          <t>'From senior nappers to weekend sprinters.' — Active &amp; sporting dogs</t>
        </is>
      </c>
      <c r="D61" s="5" t="inlineStr">
        <is>
          <t>pet-chiro.html:246</t>
        </is>
      </c>
      <c r="E61" s="5" t="inlineStr">
        <is>
          <t>picsum aligned-active-dog</t>
        </is>
      </c>
      <c r="F61" s="5" t="inlineStr">
        <is>
          <t>images/pets/active-dog.jpg</t>
        </is>
      </c>
      <c r="G61" s="4" t="inlineStr">
        <is>
          <t>500x450</t>
        </is>
      </c>
      <c r="H61" s="4" t="inlineStr">
        <is>
          <t>Photo</t>
        </is>
      </c>
      <c r="I61" s="8" t="inlineStr">
        <is>
          <t>Generate</t>
        </is>
      </c>
      <c r="J61" s="4" t="inlineStr">
        <is>
          <t>P2</t>
        </is>
      </c>
      <c r="K61" s="6" t="inlineStr">
        <is>
          <t>Extend the pet-signs set.</t>
        </is>
      </c>
    </row>
    <row r="62">
      <c r="A62" s="4" t="n">
        <v>58</v>
      </c>
      <c r="B62" s="5" t="inlineStr">
        <is>
          <t>pet-chiro</t>
        </is>
      </c>
      <c r="C62" s="6" t="inlineStr">
        <is>
          <t>'From senior nappers to weekend sprinters.' — Post-injury recovery</t>
        </is>
      </c>
      <c r="D62" s="5" t="inlineStr">
        <is>
          <t>pet-chiro.html:247</t>
        </is>
      </c>
      <c r="E62" s="5" t="inlineStr">
        <is>
          <t>picsum aligned-recovery-pet</t>
        </is>
      </c>
      <c r="F62" s="5" t="inlineStr">
        <is>
          <t>images/pets/recovery-pet.jpg</t>
        </is>
      </c>
      <c r="G62" s="4" t="inlineStr">
        <is>
          <t>500x450</t>
        </is>
      </c>
      <c r="H62" s="4" t="inlineStr">
        <is>
          <t>Photo</t>
        </is>
      </c>
      <c r="I62" s="8" t="inlineStr">
        <is>
          <t>Generate</t>
        </is>
      </c>
      <c r="J62" s="4" t="inlineStr">
        <is>
          <t>P2</t>
        </is>
      </c>
      <c r="K62" s="6" t="inlineStr">
        <is>
          <t>Extend the pet-signs set.</t>
        </is>
      </c>
    </row>
    <row r="63">
      <c r="A63" s="4" t="n">
        <v>59</v>
      </c>
      <c r="B63" s="5" t="inlineStr">
        <is>
          <t>pet-chiro</t>
        </is>
      </c>
      <c r="C63" s="6" t="inlineStr">
        <is>
          <t>'From senior nappers to weekend sprinters.' — Cats too</t>
        </is>
      </c>
      <c r="D63" s="5" t="inlineStr">
        <is>
          <t>pet-chiro.html:248</t>
        </is>
      </c>
      <c r="E63" s="5" t="inlineStr">
        <is>
          <t>picsum aligned-cat-chiro</t>
        </is>
      </c>
      <c r="F63" s="5" t="inlineStr">
        <is>
          <t>images/pets/cat-chiro.jpg</t>
        </is>
      </c>
      <c r="G63" s="4" t="inlineStr">
        <is>
          <t>500x450</t>
        </is>
      </c>
      <c r="H63" s="4" t="inlineStr">
        <is>
          <t>Photo</t>
        </is>
      </c>
      <c r="I63" s="8" t="inlineStr">
        <is>
          <t>Generate</t>
        </is>
      </c>
      <c r="J63" s="4" t="inlineStr">
        <is>
          <t>P2</t>
        </is>
      </c>
      <c r="K63" s="6" t="inlineStr">
        <is>
          <t>Extend the pet-signs set.</t>
        </is>
      </c>
    </row>
    <row r="64">
      <c r="A64" s="4" t="n">
        <v>60</v>
      </c>
      <c r="B64" s="5" t="inlineStr">
        <is>
          <t>pet-chiro</t>
        </is>
      </c>
      <c r="C64" s="6" t="inlineStr">
        <is>
          <t>Final CTA background — 'They'd book it themselves if they had thumbs.'</t>
        </is>
      </c>
      <c r="D64" s="5" t="inlineStr">
        <is>
          <t>pet-chiro.html:316</t>
        </is>
      </c>
      <c r="E64" s="5" t="inlineStr">
        <is>
          <t>picsum aligned-pet-chiro-dog</t>
        </is>
      </c>
      <c r="F64" s="5" t="inlineStr">
        <is>
          <t>images/pets/pet-chiro-dog.jpg</t>
        </is>
      </c>
      <c r="G64" s="4" t="inlineStr">
        <is>
          <t>1600x900</t>
        </is>
      </c>
      <c r="H64" s="4" t="inlineStr">
        <is>
          <t>Photo</t>
        </is>
      </c>
      <c r="I64" s="9" t="inlineStr">
        <is>
          <t>Reuse</t>
        </is>
      </c>
      <c r="J64" s="4" t="inlineStr">
        <is>
          <t>P2</t>
        </is>
      </c>
      <c r="K64" s="6" t="inlineStr">
        <is>
          <t>Same file as index.html:1309, cropped wider.</t>
        </is>
      </c>
    </row>
    <row r="65">
      <c r="A65" s="4" t="n">
        <v>61</v>
      </c>
      <c r="B65" s="5" t="inlineStr">
        <is>
          <t>shop</t>
        </is>
      </c>
      <c r="C65" s="6" t="inlineStr">
        <is>
          <t>Product — 'Cervical Support Pillow'</t>
        </is>
      </c>
      <c r="D65" s="5" t="inlineStr">
        <is>
          <t>shop.html:151</t>
        </is>
      </c>
      <c r="E65" s="5" t="inlineStr">
        <is>
          <t>picsum aligned-shop-pillow</t>
        </is>
      </c>
      <c r="F65" s="5" t="inlineStr">
        <is>
          <t>images/shop/pillow.jpg</t>
        </is>
      </c>
      <c r="G65" s="4" t="inlineStr">
        <is>
          <t>1200x750</t>
        </is>
      </c>
      <c r="H65" s="4" t="inlineStr">
        <is>
          <t>Product</t>
        </is>
      </c>
      <c r="I65" s="10" t="inlineStr">
        <is>
          <t>Real photo</t>
        </is>
      </c>
      <c r="J65" s="4" t="inlineStr">
        <is>
          <t>P1</t>
        </is>
      </c>
      <c r="K65" s="6" t="inlineStr">
        <is>
          <t>Must match what the customer actually receives. Generative = misrepresentation.</t>
        </is>
      </c>
    </row>
    <row r="66">
      <c r="A66" s="4" t="n">
        <v>62</v>
      </c>
      <c r="B66" s="5" t="inlineStr">
        <is>
          <t>shop</t>
        </is>
      </c>
      <c r="C66" s="6" t="inlineStr">
        <is>
          <t>Product — 'Lumbar Support Cushion'</t>
        </is>
      </c>
      <c r="D66" s="5" t="inlineStr">
        <is>
          <t>shop.html:172</t>
        </is>
      </c>
      <c r="E66" s="5" t="inlineStr">
        <is>
          <t>picsum aligned-shop-lumbar</t>
        </is>
      </c>
      <c r="F66" s="5" t="inlineStr">
        <is>
          <t>images/shop/lumbar.jpg</t>
        </is>
      </c>
      <c r="G66" s="4" t="inlineStr">
        <is>
          <t>1200x750</t>
        </is>
      </c>
      <c r="H66" s="4" t="inlineStr">
        <is>
          <t>Product</t>
        </is>
      </c>
      <c r="I66" s="10" t="inlineStr">
        <is>
          <t>Real photo</t>
        </is>
      </c>
      <c r="J66" s="4" t="inlineStr">
        <is>
          <t>P1</t>
        </is>
      </c>
      <c r="K66" s="6" t="inlineStr">
        <is>
          <t>Real product shot.</t>
        </is>
      </c>
    </row>
    <row r="67">
      <c r="A67" s="4" t="n">
        <v>63</v>
      </c>
      <c r="B67" s="5" t="inlineStr">
        <is>
          <t>shop</t>
        </is>
      </c>
      <c r="C67" s="6" t="inlineStr">
        <is>
          <t>Product — 'Posture Trainer'</t>
        </is>
      </c>
      <c r="D67" s="5" t="inlineStr">
        <is>
          <t>shop.html:193</t>
        </is>
      </c>
      <c r="E67" s="5" t="inlineStr">
        <is>
          <t>picsum aligned-shop-posture</t>
        </is>
      </c>
      <c r="F67" s="5" t="inlineStr">
        <is>
          <t>images/shop/posture.jpg</t>
        </is>
      </c>
      <c r="G67" s="4" t="inlineStr">
        <is>
          <t>1200x750</t>
        </is>
      </c>
      <c r="H67" s="4" t="inlineStr">
        <is>
          <t>Product</t>
        </is>
      </c>
      <c r="I67" s="10" t="inlineStr">
        <is>
          <t>Real photo</t>
        </is>
      </c>
      <c r="J67" s="4" t="inlineStr">
        <is>
          <t>P1</t>
        </is>
      </c>
      <c r="K67" s="6" t="inlineStr">
        <is>
          <t>Real product shot.</t>
        </is>
      </c>
    </row>
    <row r="68">
      <c r="A68" s="4" t="n">
        <v>64</v>
      </c>
      <c r="B68" s="5" t="inlineStr">
        <is>
          <t>shop</t>
        </is>
      </c>
      <c r="C68" s="6" t="inlineStr">
        <is>
          <t>Product — 'Gift a Spine Check'</t>
        </is>
      </c>
      <c r="D68" s="5" t="inlineStr">
        <is>
          <t>shop.html:214</t>
        </is>
      </c>
      <c r="E68" s="5" t="inlineStr">
        <is>
          <t>picsum aligned-shop-voucher</t>
        </is>
      </c>
      <c r="F68" s="5" t="inlineStr">
        <is>
          <t>images/shop/voucher.jpg</t>
        </is>
      </c>
      <c r="G68" s="4" t="inlineStr">
        <is>
          <t>1200x750</t>
        </is>
      </c>
      <c r="H68" s="4" t="inlineStr">
        <is>
          <t>Graphic</t>
        </is>
      </c>
      <c r="I68" s="8" t="inlineStr">
        <is>
          <t>Generate</t>
        </is>
      </c>
      <c r="J68" s="4" t="inlineStr">
        <is>
          <t>P2</t>
        </is>
      </c>
      <c r="K68" s="6" t="inlineStr">
        <is>
          <t>Not a physical product — design a branded voucher graphic rather than shoot it.</t>
        </is>
      </c>
    </row>
    <row r="69">
      <c r="A69" s="4" t="n">
        <v>65</v>
      </c>
      <c r="B69" s="5" t="inlineStr">
        <is>
          <t>shop</t>
        </is>
      </c>
      <c r="C69" s="6" t="inlineStr">
        <is>
          <t>Doctor note — Dr Daniel Tan quote block</t>
        </is>
      </c>
      <c r="D69" s="5" t="inlineStr">
        <is>
          <t>shop.html:247</t>
        </is>
      </c>
      <c r="E69" s="5" t="inlineStr">
        <is>
          <t>picsum aligned-dr-daniel-portrait</t>
        </is>
      </c>
      <c r="F69" s="5" t="inlineStr">
        <is>
          <t>images/team/dr-daniel.jpg</t>
        </is>
      </c>
      <c r="G69" s="4" t="inlineStr">
        <is>
          <t>300x300</t>
        </is>
      </c>
      <c r="H69" s="4" t="inlineStr">
        <is>
          <t>Portrait</t>
        </is>
      </c>
      <c r="I69" s="9" t="inlineStr">
        <is>
          <t>Reuse</t>
        </is>
      </c>
      <c r="J69" s="4" t="inlineStr">
        <is>
          <t>P1</t>
        </is>
      </c>
      <c r="K69" s="6" t="inlineStr">
        <is>
          <t>Same portrait as about/index, square crop.</t>
        </is>
      </c>
    </row>
    <row r="70">
      <c r="A70" s="4" t="n">
        <v>66</v>
      </c>
      <c r="B70" s="5" t="inlineStr">
        <is>
          <t>shop</t>
        </is>
      </c>
      <c r="C70" s="6" t="inlineStr">
        <is>
          <t>Final CTA background — 'Tools help. Alignment fixes.'</t>
        </is>
      </c>
      <c r="D70" s="5" t="inlineStr">
        <is>
          <t>shop.html:258</t>
        </is>
      </c>
      <c r="E70" s="5" t="inlineStr">
        <is>
          <t>images/gonstead-exam.jpg (filler)</t>
        </is>
      </c>
      <c r="F70" s="5" t="inlineStr">
        <is>
          <t>images/banners/cta-adjustment.jpg</t>
        </is>
      </c>
      <c r="G70" s="4" t="inlineStr">
        <is>
          <t>16:9</t>
        </is>
      </c>
      <c r="H70" s="4" t="inlineStr">
        <is>
          <t>Photo</t>
        </is>
      </c>
      <c r="I70" s="9" t="inlineStr">
        <is>
          <t>Reuse</t>
        </is>
      </c>
      <c r="J70" s="4" t="inlineStr">
        <is>
          <t>P1</t>
        </is>
      </c>
      <c r="K70" s="6" t="inlineStr">
        <is>
          <t>Shared CTA file.</t>
        </is>
      </c>
    </row>
    <row r="71">
      <c r="A71" s="4" t="n">
        <v>67</v>
      </c>
      <c r="B71" s="5" t="inlineStr">
        <is>
          <t>news</t>
        </is>
      </c>
      <c r="C71" s="6" t="inlineStr">
        <is>
          <t>Featured card — 'RM50 off your first assessment — July only'</t>
        </is>
      </c>
      <c r="D71" s="5" t="inlineStr">
        <is>
          <t>news.html:115</t>
        </is>
      </c>
      <c r="E71" s="5" t="inlineStr">
        <is>
          <t>images/gonstead-exam.jpg (filler)</t>
        </is>
      </c>
      <c r="F71" s="5" t="inlineStr">
        <is>
          <t>images/banners/news-featured-offer.jpg</t>
        </is>
      </c>
      <c r="G71" s="4" t="inlineStr">
        <is>
          <t>16:9</t>
        </is>
      </c>
      <c r="H71" s="4" t="inlineStr">
        <is>
          <t>Photo</t>
        </is>
      </c>
      <c r="I71" s="8" t="inlineStr">
        <is>
          <t>Generate</t>
        </is>
      </c>
      <c r="J71" s="4" t="inlineStr">
        <is>
          <t>P2</t>
        </is>
      </c>
      <c r="K71" s="6" t="inlineStr">
        <is>
          <t>Bright reception moment — this card sits on a light page with no scrim. Shared with index.html:887.</t>
        </is>
      </c>
    </row>
    <row r="72">
      <c r="A72" s="4" t="n">
        <v>68</v>
      </c>
      <c r="B72" s="5" t="inlineStr">
        <is>
          <t>news</t>
        </is>
      </c>
      <c r="C72" s="6" t="inlineStr">
        <is>
          <t>Article — 'We are now open on Saturdays'</t>
        </is>
      </c>
      <c r="D72" s="5" t="inlineStr">
        <is>
          <t>news.html:126</t>
        </is>
      </c>
      <c r="E72" s="5" t="inlineStr">
        <is>
          <t>picsum aligned-news-saturday</t>
        </is>
      </c>
      <c r="F72" s="5" t="inlineStr">
        <is>
          <t>images/news/saturday.jpg</t>
        </is>
      </c>
      <c r="G72" s="4" t="inlineStr">
        <is>
          <t>700x440</t>
        </is>
      </c>
      <c r="H72" s="4" t="inlineStr">
        <is>
          <t>Photo</t>
        </is>
      </c>
      <c r="I72" s="8" t="inlineStr">
        <is>
          <t>Generate</t>
        </is>
      </c>
      <c r="J72" s="4" t="inlineStr">
        <is>
          <t>P3</t>
        </is>
      </c>
      <c r="K72" s="6" t="inlineStr">
        <is>
          <t>Editorial cover. Could also be a simple branded type graphic.</t>
        </is>
      </c>
    </row>
    <row r="73">
      <c r="A73" s="4" t="n">
        <v>69</v>
      </c>
      <c r="B73" s="5" t="inlineStr">
        <is>
          <t>news</t>
        </is>
      </c>
      <c r="C73" s="6" t="inlineStr">
        <is>
          <t>Article — 'Animal Chiro is here — dogs &amp; cats, no referral needed'</t>
        </is>
      </c>
      <c r="D73" s="5" t="inlineStr">
        <is>
          <t>news.html:135</t>
        </is>
      </c>
      <c r="E73" s="5" t="inlineStr">
        <is>
          <t>picsum aligned-news-petlaunch</t>
        </is>
      </c>
      <c r="F73" s="5" t="inlineStr">
        <is>
          <t>images/news/petlaunch.jpg</t>
        </is>
      </c>
      <c r="G73" s="4" t="inlineStr">
        <is>
          <t>700x440</t>
        </is>
      </c>
      <c r="H73" s="4" t="inlineStr">
        <is>
          <t>Photo</t>
        </is>
      </c>
      <c r="I73" s="8" t="inlineStr">
        <is>
          <t>Generate</t>
        </is>
      </c>
      <c r="J73" s="4" t="inlineStr">
        <is>
          <t>P3</t>
        </is>
      </c>
      <c r="K73" s="6" t="inlineStr">
        <is>
          <t>Editorial cover.</t>
        </is>
      </c>
    </row>
    <row r="74">
      <c r="A74" s="4" t="n">
        <v>70</v>
      </c>
      <c r="B74" s="5" t="inlineStr">
        <is>
          <t>news</t>
        </is>
      </c>
      <c r="C74" s="6" t="inlineStr">
        <is>
          <t>Article — '5 desk habits your spine will thank you for'</t>
        </is>
      </c>
      <c r="D74" s="5" t="inlineStr">
        <is>
          <t>news.html:144</t>
        </is>
      </c>
      <c r="E74" s="5" t="inlineStr">
        <is>
          <t>picsum aligned-news-sitting</t>
        </is>
      </c>
      <c r="F74" s="5" t="inlineStr">
        <is>
          <t>images/news/sitting.jpg</t>
        </is>
      </c>
      <c r="G74" s="4" t="inlineStr">
        <is>
          <t>700x440</t>
        </is>
      </c>
      <c r="H74" s="4" t="inlineStr">
        <is>
          <t>Photo</t>
        </is>
      </c>
      <c r="I74" s="8" t="inlineStr">
        <is>
          <t>Generate</t>
        </is>
      </c>
      <c r="J74" s="4" t="inlineStr">
        <is>
          <t>P3</t>
        </is>
      </c>
      <c r="K74" s="6" t="inlineStr">
        <is>
          <t>Editorial cover. Could reuse conditions/posture.jpg instead.</t>
        </is>
      </c>
    </row>
    <row r="75">
      <c r="A75" s="4" t="n">
        <v>71</v>
      </c>
      <c r="B75" s="5" t="inlineStr">
        <is>
          <t>news</t>
        </is>
      </c>
      <c r="C75" s="6" t="inlineStr">
        <is>
          <t>Article — 'Slipped disc: do you really need surgery?'</t>
        </is>
      </c>
      <c r="D75" s="5" t="inlineStr">
        <is>
          <t>news.html:153</t>
        </is>
      </c>
      <c r="E75" s="5" t="inlineStr">
        <is>
          <t>picsum aligned-news-slipdisc</t>
        </is>
      </c>
      <c r="F75" s="5" t="inlineStr">
        <is>
          <t>images/news/slipdisc.jpg</t>
        </is>
      </c>
      <c r="G75" s="4" t="inlineStr">
        <is>
          <t>700x440</t>
        </is>
      </c>
      <c r="H75" s="4" t="inlineStr">
        <is>
          <t>Photo</t>
        </is>
      </c>
      <c r="I75" s="8" t="inlineStr">
        <is>
          <t>Generate</t>
        </is>
      </c>
      <c r="J75" s="4" t="inlineStr">
        <is>
          <t>P3</t>
        </is>
      </c>
      <c r="K75" s="6" t="inlineStr">
        <is>
          <t>Editorial cover. Could reuse conditions/slipped-disc.jpg instead.</t>
        </is>
      </c>
    </row>
    <row r="76">
      <c r="A76" s="4" t="n">
        <v>72</v>
      </c>
      <c r="B76" s="5" t="inlineStr">
        <is>
          <t>news</t>
        </is>
      </c>
      <c r="C76" s="6" t="inlineStr">
        <is>
          <t>Article — 'What makes Gonstead different from a regular adjustment?'</t>
        </is>
      </c>
      <c r="D76" s="5" t="inlineStr">
        <is>
          <t>news.html:162</t>
        </is>
      </c>
      <c r="E76" s="5" t="inlineStr">
        <is>
          <t>picsum aligned-news-gonstead</t>
        </is>
      </c>
      <c r="F76" s="5" t="inlineStr">
        <is>
          <t>images/news/gonstead.jpg</t>
        </is>
      </c>
      <c r="G76" s="4" t="inlineStr">
        <is>
          <t>700x440</t>
        </is>
      </c>
      <c r="H76" s="4" t="inlineStr">
        <is>
          <t>Photo</t>
        </is>
      </c>
      <c r="I76" s="8" t="inlineStr">
        <is>
          <t>Generate</t>
        </is>
      </c>
      <c r="J76" s="4" t="inlineStr">
        <is>
          <t>P3</t>
        </is>
      </c>
      <c r="K76" s="6" t="inlineStr">
        <is>
          <t>Editorial cover.</t>
        </is>
      </c>
    </row>
    <row r="77">
      <c r="A77" s="4" t="n">
        <v>73</v>
      </c>
      <c r="B77" s="5" t="inlineStr">
        <is>
          <t>news</t>
        </is>
      </c>
      <c r="C77" s="6" t="inlineStr">
        <is>
          <t>Article — 'Bring a friend: referral perks for existing patients'</t>
        </is>
      </c>
      <c r="D77" s="5" t="inlineStr">
        <is>
          <t>news.html:171</t>
        </is>
      </c>
      <c r="E77" s="5" t="inlineStr">
        <is>
          <t>picsum aligned-news-referral</t>
        </is>
      </c>
      <c r="F77" s="5" t="inlineStr">
        <is>
          <t>images/news/referral.jpg</t>
        </is>
      </c>
      <c r="G77" s="4" t="inlineStr">
        <is>
          <t>700x440</t>
        </is>
      </c>
      <c r="H77" s="4" t="inlineStr">
        <is>
          <t>Photo</t>
        </is>
      </c>
      <c r="I77" s="8" t="inlineStr">
        <is>
          <t>Generate</t>
        </is>
      </c>
      <c r="J77" s="4" t="inlineStr">
        <is>
          <t>P3</t>
        </is>
      </c>
      <c r="K77" s="6" t="inlineStr">
        <is>
          <t>Editorial cover. Branded graphic likely better than a photo.</t>
        </is>
      </c>
    </row>
    <row r="78">
      <c r="A78" s="4" t="n">
        <v>74</v>
      </c>
      <c r="B78" s="5" t="inlineStr">
        <is>
          <t>news</t>
        </is>
      </c>
      <c r="C78" s="6" t="inlineStr">
        <is>
          <t>Final CTA background — 'Read enough. Feel the difference instead.'</t>
        </is>
      </c>
      <c r="D78" s="5" t="inlineStr">
        <is>
          <t>news.html:201</t>
        </is>
      </c>
      <c r="E78" s="5" t="inlineStr">
        <is>
          <t>images/gonstead-exam.jpg (filler)</t>
        </is>
      </c>
      <c r="F78" s="5" t="inlineStr">
        <is>
          <t>images/banners/cta-adjustment.jpg</t>
        </is>
      </c>
      <c r="G78" s="4" t="inlineStr">
        <is>
          <t>16:9</t>
        </is>
      </c>
      <c r="H78" s="4" t="inlineStr">
        <is>
          <t>Photo</t>
        </is>
      </c>
      <c r="I78" s="9" t="inlineStr">
        <is>
          <t>Reuse</t>
        </is>
      </c>
      <c r="J78" s="4" t="inlineStr">
        <is>
          <t>P1</t>
        </is>
      </c>
      <c r="K78" s="6" t="inlineStr">
        <is>
          <t>Shared CTA file.</t>
        </is>
      </c>
    </row>
  </sheetData>
  <autoFilter ref="A4:K78"/>
  <mergeCells count="1">
    <mergeCell ref="A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2" customWidth="1" min="4" max="4"/>
    <col width="13" customWidth="1" min="5" max="5"/>
    <col width="11" customWidth="1" min="6" max="6"/>
  </cols>
  <sheetData>
    <row r="1">
      <c r="A1" s="1" t="inlineStr">
        <is>
          <t>Summary — where the work is</t>
        </is>
      </c>
    </row>
    <row r="3">
      <c r="A3" s="11" t="inlineStr">
        <is>
          <t>By status</t>
        </is>
      </c>
    </row>
    <row r="4">
      <c r="A4" s="12" t="inlineStr">
        <is>
          <t>Status</t>
        </is>
      </c>
      <c r="B4" s="12" t="inlineStr">
        <is>
          <t>Slots</t>
        </is>
      </c>
    </row>
    <row r="5">
      <c r="A5" s="13" t="inlineStr">
        <is>
          <t>Done — on disk &amp; wired</t>
        </is>
      </c>
      <c r="B5" s="14">
        <f>COUNTIF('Asset Allocation'!$I$5:$I$78,"Done")</f>
        <v/>
      </c>
    </row>
    <row r="6">
      <c r="A6" s="15" t="inlineStr">
        <is>
          <t>Generate — AI pipeline</t>
        </is>
      </c>
      <c r="B6" s="14">
        <f>COUNTIF('Asset Allocation'!$I$5:$I$78,"Generate")</f>
        <v/>
      </c>
    </row>
    <row r="7">
      <c r="A7" s="16" t="inlineStr">
        <is>
          <t>Real photo — shoot/source</t>
        </is>
      </c>
      <c r="B7" s="14">
        <f>COUNTIF('Asset Allocation'!$I$5:$I$78,"Real photo")</f>
        <v/>
      </c>
    </row>
    <row r="8">
      <c r="A8" s="17" t="inlineStr">
        <is>
          <t>Reuse — no new asset</t>
        </is>
      </c>
      <c r="B8" s="14">
        <f>COUNTIF('Asset Allocation'!$I$5:$I$78,"Reuse")</f>
        <v/>
      </c>
    </row>
    <row r="9">
      <c r="A9" s="18" t="inlineStr">
        <is>
          <t>Total slots</t>
        </is>
      </c>
      <c r="B9" s="19">
        <f>SUM(B5:B8)</f>
        <v/>
      </c>
    </row>
    <row r="11">
      <c r="A11" s="11" t="inlineStr">
        <is>
          <t>Outstanding by priority (excludes Done)</t>
        </is>
      </c>
    </row>
    <row r="12">
      <c r="A12" s="12" t="inlineStr">
        <is>
          <t>Priority</t>
        </is>
      </c>
      <c r="B12" s="12" t="inlineStr">
        <is>
          <t>Slots</t>
        </is>
      </c>
    </row>
    <row r="13">
      <c r="A13" s="20" t="inlineStr">
        <is>
          <t>P1 — blocks launch credibility</t>
        </is>
      </c>
      <c r="B13" s="14">
        <f>COUNTIF('Asset Allocation'!$J$5:$J$78,"P1")</f>
        <v/>
      </c>
    </row>
    <row r="14">
      <c r="A14" s="20" t="inlineStr">
        <is>
          <t>P2 — visible polish</t>
        </is>
      </c>
      <c r="B14" s="14">
        <f>COUNTIF('Asset Allocation'!$J$5:$J$78,"P2")</f>
        <v/>
      </c>
    </row>
    <row r="15">
      <c r="A15" s="20" t="inlineStr">
        <is>
          <t>P3 — nice to have</t>
        </is>
      </c>
      <c r="B15" s="14">
        <f>COUNTIF('Asset Allocation'!$J$5:$J$78,"P3")</f>
        <v/>
      </c>
    </row>
    <row r="18">
      <c r="A18" s="11" t="inlineStr">
        <is>
          <t>By page</t>
        </is>
      </c>
    </row>
    <row r="19">
      <c r="A19" s="12" t="inlineStr">
        <is>
          <t>Page</t>
        </is>
      </c>
      <c r="B19" s="12" t="inlineStr">
        <is>
          <t>Total</t>
        </is>
      </c>
      <c r="C19" s="12" t="inlineStr">
        <is>
          <t>Done</t>
        </is>
      </c>
      <c r="D19" s="12" t="inlineStr">
        <is>
          <t>Generate</t>
        </is>
      </c>
      <c r="E19" s="12" t="inlineStr">
        <is>
          <t>Real photo</t>
        </is>
      </c>
      <c r="F19" s="12" t="inlineStr">
        <is>
          <t>Reuse</t>
        </is>
      </c>
    </row>
    <row r="20">
      <c r="A20" s="20" t="inlineStr">
        <is>
          <t>index</t>
        </is>
      </c>
      <c r="B20" s="14">
        <f>COUNTIF('Asset Allocation'!$B$5:$B$78,A20)</f>
        <v/>
      </c>
      <c r="C20" s="14">
        <f>COUNTIFS('Asset Allocation'!$B$5:$B$78,$A20,'Asset Allocation'!$I$5:$I$78,"Done")</f>
        <v/>
      </c>
      <c r="D20" s="14">
        <f>COUNTIFS('Asset Allocation'!$B$5:$B$78,$A20,'Asset Allocation'!$I$5:$I$78,"Generate")</f>
        <v/>
      </c>
      <c r="E20" s="14">
        <f>COUNTIFS('Asset Allocation'!$B$5:$B$78,$A20,'Asset Allocation'!$I$5:$I$78,"Real photo")</f>
        <v/>
      </c>
      <c r="F20" s="14">
        <f>COUNTIFS('Asset Allocation'!$B$5:$B$78,$A20,'Asset Allocation'!$I$5:$I$78,"Reuse")</f>
        <v/>
      </c>
    </row>
    <row r="21">
      <c r="A21" s="20" t="inlineStr">
        <is>
          <t>about</t>
        </is>
      </c>
      <c r="B21" s="14">
        <f>COUNTIF('Asset Allocation'!$B$5:$B$78,A21)</f>
        <v/>
      </c>
      <c r="C21" s="14">
        <f>COUNTIFS('Asset Allocation'!$B$5:$B$78,$A21,'Asset Allocation'!$I$5:$I$78,"Done")</f>
        <v/>
      </c>
      <c r="D21" s="14">
        <f>COUNTIFS('Asset Allocation'!$B$5:$B$78,$A21,'Asset Allocation'!$I$5:$I$78,"Generate")</f>
        <v/>
      </c>
      <c r="E21" s="14">
        <f>COUNTIFS('Asset Allocation'!$B$5:$B$78,$A21,'Asset Allocation'!$I$5:$I$78,"Real photo")</f>
        <v/>
      </c>
      <c r="F21" s="14">
        <f>COUNTIFS('Asset Allocation'!$B$5:$B$78,$A21,'Asset Allocation'!$I$5:$I$78,"Reuse")</f>
        <v/>
      </c>
    </row>
    <row r="22">
      <c r="A22" s="20" t="inlineStr">
        <is>
          <t>chiropractic</t>
        </is>
      </c>
      <c r="B22" s="14">
        <f>COUNTIF('Asset Allocation'!$B$5:$B$78,A22)</f>
        <v/>
      </c>
      <c r="C22" s="14">
        <f>COUNTIFS('Asset Allocation'!$B$5:$B$78,$A22,'Asset Allocation'!$I$5:$I$78,"Done")</f>
        <v/>
      </c>
      <c r="D22" s="14">
        <f>COUNTIFS('Asset Allocation'!$B$5:$B$78,$A22,'Asset Allocation'!$I$5:$I$78,"Generate")</f>
        <v/>
      </c>
      <c r="E22" s="14">
        <f>COUNTIFS('Asset Allocation'!$B$5:$B$78,$A22,'Asset Allocation'!$I$5:$I$78,"Real photo")</f>
        <v/>
      </c>
      <c r="F22" s="14">
        <f>COUNTIFS('Asset Allocation'!$B$5:$B$78,$A22,'Asset Allocation'!$I$5:$I$78,"Reuse")</f>
        <v/>
      </c>
    </row>
    <row r="23">
      <c r="A23" s="20" t="inlineStr">
        <is>
          <t>pet-chiro</t>
        </is>
      </c>
      <c r="B23" s="14">
        <f>COUNTIF('Asset Allocation'!$B$5:$B$78,A23)</f>
        <v/>
      </c>
      <c r="C23" s="14">
        <f>COUNTIFS('Asset Allocation'!$B$5:$B$78,$A23,'Asset Allocation'!$I$5:$I$78,"Done")</f>
        <v/>
      </c>
      <c r="D23" s="14">
        <f>COUNTIFS('Asset Allocation'!$B$5:$B$78,$A23,'Asset Allocation'!$I$5:$I$78,"Generate")</f>
        <v/>
      </c>
      <c r="E23" s="14">
        <f>COUNTIFS('Asset Allocation'!$B$5:$B$78,$A23,'Asset Allocation'!$I$5:$I$78,"Real photo")</f>
        <v/>
      </c>
      <c r="F23" s="14">
        <f>COUNTIFS('Asset Allocation'!$B$5:$B$78,$A23,'Asset Allocation'!$I$5:$I$78,"Reuse")</f>
        <v/>
      </c>
    </row>
    <row r="24">
      <c r="A24" s="20" t="inlineStr">
        <is>
          <t>shop</t>
        </is>
      </c>
      <c r="B24" s="14">
        <f>COUNTIF('Asset Allocation'!$B$5:$B$78,A24)</f>
        <v/>
      </c>
      <c r="C24" s="14">
        <f>COUNTIFS('Asset Allocation'!$B$5:$B$78,$A24,'Asset Allocation'!$I$5:$I$78,"Done")</f>
        <v/>
      </c>
      <c r="D24" s="14">
        <f>COUNTIFS('Asset Allocation'!$B$5:$B$78,$A24,'Asset Allocation'!$I$5:$I$78,"Generate")</f>
        <v/>
      </c>
      <c r="E24" s="14">
        <f>COUNTIFS('Asset Allocation'!$B$5:$B$78,$A24,'Asset Allocation'!$I$5:$I$78,"Real photo")</f>
        <v/>
      </c>
      <c r="F24" s="14">
        <f>COUNTIFS('Asset Allocation'!$B$5:$B$78,$A24,'Asset Allocation'!$I$5:$I$78,"Reuse")</f>
        <v/>
      </c>
    </row>
    <row r="25">
      <c r="A25" s="20" t="inlineStr">
        <is>
          <t>news</t>
        </is>
      </c>
      <c r="B25" s="14">
        <f>COUNTIF('Asset Allocation'!$B$5:$B$78,A25)</f>
        <v/>
      </c>
      <c r="C25" s="14">
        <f>COUNTIFS('Asset Allocation'!$B$5:$B$78,$A25,'Asset Allocation'!$I$5:$I$78,"Done")</f>
        <v/>
      </c>
      <c r="D25" s="14">
        <f>COUNTIFS('Asset Allocation'!$B$5:$B$78,$A25,'Asset Allocation'!$I$5:$I$78,"Generate")</f>
        <v/>
      </c>
      <c r="E25" s="14">
        <f>COUNTIFS('Asset Allocation'!$B$5:$B$78,$A25,'Asset Allocation'!$I$5:$I$78,"Real photo")</f>
        <v/>
      </c>
      <c r="F25" s="14">
        <f>COUNTIFS('Asset Allocation'!$B$5:$B$78,$A25,'Asset Allocation'!$I$5:$I$78,"Reuse")</f>
        <v/>
      </c>
    </row>
    <row r="26">
      <c r="A26" s="20" t="inlineStr">
        <is>
          <t>Global</t>
        </is>
      </c>
      <c r="B26" s="14">
        <f>COUNTIF('Asset Allocation'!$B$5:$B$78,A26)</f>
        <v/>
      </c>
      <c r="C26" s="14">
        <f>COUNTIFS('Asset Allocation'!$B$5:$B$78,$A26,'Asset Allocation'!$I$5:$I$78,"Done")</f>
        <v/>
      </c>
      <c r="D26" s="14">
        <f>COUNTIFS('Asset Allocation'!$B$5:$B$78,$A26,'Asset Allocation'!$I$5:$I$78,"Generate")</f>
        <v/>
      </c>
      <c r="E26" s="14">
        <f>COUNTIFS('Asset Allocation'!$B$5:$B$78,$A26,'Asset Allocation'!$I$5:$I$78,"Real photo")</f>
        <v/>
      </c>
      <c r="F26" s="14">
        <f>COUNTIFS('Asset Allocation'!$B$5:$B$78,$A26,'Asset Allocation'!$I$5:$I$78,"Reuse")</f>
        <v/>
      </c>
    </row>
    <row r="28">
      <c r="A28" s="2" t="inlineStr">
        <is>
          <t>Note: 'slots' counts placements, not unique files — e.g. one cta-adjustment.jpg fills 4 CTA bands, and the collab marquee repeats its 6 files twice for the loop.</t>
        </is>
      </c>
    </row>
  </sheetData>
  <mergeCells count="1">
    <mergeCell ref="A28:F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4" customWidth="1" min="3" max="3"/>
    <col width="20" customWidth="1" min="4" max="4"/>
    <col width="62" customWidth="1" min="5" max="5"/>
  </cols>
  <sheetData>
    <row r="1">
      <c r="A1" s="1" t="inlineStr">
        <is>
          <t>Real photography — the shoot list</t>
        </is>
      </c>
    </row>
    <row r="2">
      <c r="A2" s="2" t="inlineStr">
        <is>
          <t>Everything here fails if generated: real staff identities, the actual clinic, real products, real events, and patient testimonials (an AI face on a testimonial is a fabricated endorsement).</t>
        </is>
      </c>
    </row>
    <row r="4">
      <c r="A4" s="3" t="inlineStr">
        <is>
          <t>Grouping</t>
        </is>
      </c>
      <c r="B4" s="3" t="inlineStr">
        <is>
          <t>What to shoot</t>
        </is>
      </c>
      <c r="C4" s="3" t="inlineStr">
        <is>
          <t>Where it lands</t>
        </is>
      </c>
      <c r="D4" s="3" t="inlineStr">
        <is>
          <t>Size</t>
        </is>
      </c>
      <c r="E4" s="3" t="inlineStr">
        <is>
          <t>Notes</t>
        </is>
      </c>
    </row>
    <row r="5">
      <c r="A5" s="6" t="inlineStr">
        <is>
          <t>Session 1 — Clinic day</t>
        </is>
      </c>
      <c r="B5" s="6" t="inlineStr">
        <is>
          <t>Team portraits x5 (Daniel, Sarah, Marcus, Jasmine, Amanda)</t>
        </is>
      </c>
      <c r="C5" s="6" t="inlineStr">
        <is>
          <t>about.html:141-236 + index:1162 + shop:247</t>
        </is>
      </c>
      <c r="D5" s="6" t="inlineStr">
        <is>
          <t>500x700 + 300x300 sq crop</t>
        </is>
      </c>
      <c r="E5" s="6" t="inlineStr">
        <is>
          <t>Consistent lighting/background across all 5. Shoot square crop for the shop quote block at the same time.</t>
        </is>
      </c>
    </row>
    <row r="6">
      <c r="A6" s="6" t="inlineStr">
        <is>
          <t>Session 1 — Clinic day</t>
        </is>
      </c>
      <c r="B6" s="6" t="inlineStr">
        <is>
          <t>Team group shot</t>
        </is>
      </c>
      <c r="C6" s="6" t="inlineStr">
        <is>
          <t>about.html:109</t>
        </is>
      </c>
      <c r="D6" s="6" t="inlineStr">
        <is>
          <t>1800x1000</t>
        </is>
      </c>
      <c r="E6" s="6" t="inlineStr">
        <is>
          <t>Wide, room to breathe — it is the about hero.</t>
        </is>
      </c>
    </row>
    <row r="7">
      <c r="A7" s="6" t="inlineStr">
        <is>
          <t>Session 1 — Clinic day</t>
        </is>
      </c>
      <c r="B7" s="6" t="inlineStr">
        <is>
          <t>Clinic interiors x4 (reception, adjustment rooms, X-ray suite, rehab corner)</t>
        </is>
      </c>
      <c r="C7" s="6" t="inlineStr">
        <is>
          <t>about.html:263-266</t>
        </is>
      </c>
      <c r="D7" s="6" t="inlineStr">
        <is>
          <t>840x600</t>
        </is>
      </c>
      <c r="E7" s="6" t="inlineStr">
        <is>
          <t>The X-ray suite shot backs a differentiator claim — make it look like real equipment.</t>
        </is>
      </c>
    </row>
    <row r="8">
      <c r="A8" s="6" t="inlineStr">
        <is>
          <t>Session 1 — Clinic day</t>
        </is>
      </c>
      <c r="B8" s="6" t="inlineStr">
        <is>
          <t>Product shots x3 (cervical pillow, lumbar cushion, posture trainer)</t>
        </is>
      </c>
      <c r="C8" s="6" t="inlineStr">
        <is>
          <t>shop.html:151-193</t>
        </is>
      </c>
      <c r="D8" s="6" t="inlineStr">
        <is>
          <t>1200x750</t>
        </is>
      </c>
      <c r="E8" s="6" t="inlineStr">
        <is>
          <t>Clean consistent background. Must match what ships.</t>
        </is>
      </c>
    </row>
    <row r="9">
      <c r="A9" s="6" t="inlineStr">
        <is>
          <t>Desk task</t>
        </is>
      </c>
      <c r="B9" s="6" t="inlineStr">
        <is>
          <t>Mid Valley location map</t>
        </is>
      </c>
      <c r="C9" s="6" t="inlineStr">
        <is>
          <t>about.html:290</t>
        </is>
      </c>
      <c r="D9" s="6" t="inlineStr">
        <is>
          <t>900x620</t>
        </is>
      </c>
      <c r="E9" s="6" t="inlineStr">
        <is>
          <t>Not a shoot — Google Maps embed or Static Maps screenshot of the real address.</t>
        </is>
      </c>
    </row>
    <row r="10">
      <c r="A10" s="6" t="inlineStr">
        <is>
          <t>Archive pull</t>
        </is>
      </c>
      <c r="B10" s="6" t="inlineStr">
        <is>
          <t>Collaboration photos x6 (sports, seminars, corporate, community, athletes, overseas training)</t>
        </is>
      </c>
      <c r="C10" s="6" t="inlineStr">
        <is>
          <t>index.html:1281-1286</t>
        </is>
      </c>
      <c r="D10" s="6" t="inlineStr">
        <is>
          <t>640x420</t>
        </is>
      </c>
      <c r="E10" s="6" t="inlineStr">
        <is>
          <t>Existing event photos. If a category has no real photo, cut that tile rather than generate one.</t>
        </is>
      </c>
    </row>
    <row r="11">
      <c r="A11" s="6" t="inlineStr">
        <is>
          <t>Consent required</t>
        </is>
      </c>
      <c r="B11" s="6" t="inlineStr">
        <is>
          <t>Patient stories x3 + avatars x3 (Mei, Arvind, Faiz)</t>
        </is>
      </c>
      <c r="C11" s="6" t="inlineStr">
        <is>
          <t>index.html:1189-1224</t>
        </is>
      </c>
      <c r="D11" s="6" t="inlineStr">
        <is>
          <t>800x500 + 100x100</t>
        </is>
      </c>
      <c r="E11" s="6" t="inlineStr">
        <is>
          <t>Needs real patients with signed consent. If unavailable, replace with text-only quotes or drop the section — do not generate faces.</t>
        </is>
      </c>
    </row>
  </sheetData>
  <mergeCells count="1">
    <mergeCell ref="A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34" customWidth="1" min="3" max="3"/>
    <col width="30" customWidth="1" min="4" max="4"/>
    <col width="58" customWidth="1" min="5" max="5"/>
  </cols>
  <sheetData>
    <row r="1">
      <c r="A1" s="1" t="inlineStr">
        <is>
          <t>Generative queue — ready for the OpenArt pipeline</t>
        </is>
      </c>
    </row>
    <row r="2">
      <c r="A2" s="2" t="inlineStr">
        <is>
          <t>Prompts for the banner set are written in IMAGE-PROMPTS.md §5. Model: nano-banana-pro, autoEnhancePrompt:false, 2K. All banners sit under a dark scrim: dim mood, quiet centre, no identifiable faces.</t>
        </is>
      </c>
    </row>
    <row r="4">
      <c r="A4" s="3" t="inlineStr">
        <is>
          <t>Priority</t>
        </is>
      </c>
      <c r="B4" s="3" t="inlineStr">
        <is>
          <t>Batch</t>
        </is>
      </c>
      <c r="C4" s="3" t="inlineStr">
        <is>
          <t>Slots</t>
        </is>
      </c>
      <c r="D4" s="3" t="inlineStr">
        <is>
          <t>Prompt source</t>
        </is>
      </c>
      <c r="E4" s="3" t="inlineStr">
        <is>
          <t>Notes</t>
        </is>
      </c>
    </row>
    <row r="5">
      <c r="A5" s="4" t="inlineStr">
        <is>
          <t>P1</t>
        </is>
      </c>
      <c r="B5" s="6" t="inlineStr">
        <is>
          <t>Gonstead banner x5 (Visualization, Instrumentation, Static palpation, Motion palpation, X-ray analysis)</t>
        </is>
      </c>
      <c r="C5" s="6" t="inlineStr">
        <is>
          <t>index.html:1104-1108</t>
        </is>
      </c>
      <c r="D5" s="6" t="inlineStr">
        <is>
          <t>IMAGE-PROMPTS.md §5a</t>
        </is>
      </c>
      <c r="E5" s="6" t="inlineStr">
        <is>
          <t>16:9 — hover layers behind 'Five-point diagnostics, down to the millimetre.'</t>
        </is>
      </c>
    </row>
    <row r="6">
      <c r="A6" s="4" t="inlineStr">
        <is>
          <t>P1</t>
        </is>
      </c>
      <c r="B6" s="6" t="inlineStr">
        <is>
          <t>CTA banner x1 (fills 4 slots)</t>
        </is>
      </c>
      <c r="C6" s="6" t="inlineStr">
        <is>
          <t>about:299, chiropractic:385, shop:258, news:201</t>
        </is>
      </c>
      <c r="D6" s="6" t="inlineStr">
        <is>
          <t>IMAGE-PROMPTS.md §5c</t>
        </is>
      </c>
      <c r="E6" s="6" t="inlineStr">
        <is>
          <t>16:9 — subject left third, dark negative space for headline.</t>
        </is>
      </c>
    </row>
    <row r="7">
      <c r="A7" s="4" t="inlineStr">
        <is>
          <t>P1</t>
        </is>
      </c>
      <c r="B7" s="6" t="inlineStr">
        <is>
          <t>Dog spine X-ray overlay</t>
        </is>
      </c>
      <c r="C7" s="6" t="inlineStr">
        <is>
          <t>pet-chiro.html:184</t>
        </is>
      </c>
      <c r="D7" s="6" t="inlineStr">
        <is>
          <t>IMAGE-PROMPTS.md §5 (痛点 v2 style)</t>
        </is>
      </c>
      <c r="E7" s="6" t="inlineStr">
        <is>
          <t>900x1125 — behind 'His spine works exactly like yours.'</t>
        </is>
      </c>
    </row>
    <row r="8">
      <c r="A8" s="4" t="inlineStr">
        <is>
          <t>P2</t>
        </is>
      </c>
      <c r="B8" s="6" t="inlineStr">
        <is>
          <t>Journey strips x5 (Listen, Assess, Personalise, Restore, Maintain)</t>
        </is>
      </c>
      <c r="C8" s="6" t="inlineStr">
        <is>
          <t>index.html:1236-1240</t>
        </is>
      </c>
      <c r="D8" s="6" t="inlineStr">
        <is>
          <t>IMAGE-PROMPTS.md §5b</t>
        </is>
      </c>
      <c r="E8" s="6" t="inlineStr">
        <is>
          <t>3:4 portrait — behind 'Five steps, from listening to lasting.'</t>
        </is>
      </c>
    </row>
    <row r="9">
      <c r="A9" s="4" t="inlineStr">
        <is>
          <t>P2</t>
        </is>
      </c>
      <c r="B9" s="6" t="inlineStr">
        <is>
          <t>News featured offer x1 (fills 2 slots)</t>
        </is>
      </c>
      <c r="C9" s="6" t="inlineStr">
        <is>
          <t>news:115 + index:887</t>
        </is>
      </c>
      <c r="D9" s="6" t="inlineStr">
        <is>
          <t>IMAGE-PROMPTS.md §5d</t>
        </is>
      </c>
      <c r="E9" s="6" t="inlineStr">
        <is>
          <t>16:9 — bright, no scrim on these.</t>
        </is>
      </c>
    </row>
    <row r="10">
      <c r="A10" s="4" t="inlineStr">
        <is>
          <t>P2</t>
        </is>
      </c>
      <c r="B10" s="6" t="inlineStr">
        <is>
          <t>Pet category cards x4 (senior, active, recovery, cats)</t>
        </is>
      </c>
      <c r="C10" s="6" t="inlineStr">
        <is>
          <t>pet-chiro.html:245-248</t>
        </is>
      </c>
      <c r="D10" s="6" t="inlineStr">
        <is>
          <t>Extend §3 pet-signs style</t>
        </is>
      </c>
      <c r="E10" s="6" t="inlineStr">
        <is>
          <t>500x450 — candid home settings.</t>
        </is>
      </c>
    </row>
    <row r="11">
      <c r="A11" s="4" t="inlineStr">
        <is>
          <t>P2</t>
        </is>
      </c>
      <c r="B11" s="6" t="inlineStr">
        <is>
          <t>Pet chiro teaser x1 (fills 2 slots)</t>
        </is>
      </c>
      <c r="C11" s="6" t="inlineStr">
        <is>
          <t>index:1309 + pet-chiro:316</t>
        </is>
      </c>
      <c r="D11" s="6" t="inlineStr">
        <is>
          <t>New — needs prompt</t>
        </is>
      </c>
      <c r="E11" s="6" t="inlineStr">
        <is>
          <t>900x700 + 1600x900 crop.</t>
        </is>
      </c>
    </row>
    <row r="12">
      <c r="A12" s="4" t="inlineStr">
        <is>
          <t>P2</t>
        </is>
      </c>
      <c r="B12" s="6" t="inlineStr">
        <is>
          <t>Freedom walk lifestyle</t>
        </is>
      </c>
      <c r="C12" s="6" t="inlineStr">
        <is>
          <t>index.html:985</t>
        </is>
      </c>
      <c r="D12" s="6" t="inlineStr">
        <is>
          <t>New — needs prompt</t>
        </is>
      </c>
      <c r="E12" s="6" t="inlineStr">
        <is>
          <t>900x1125 — behind 'Movement is freedom.'</t>
        </is>
      </c>
    </row>
    <row r="13">
      <c r="A13" s="4" t="inlineStr">
        <is>
          <t>P2</t>
        </is>
      </c>
      <c r="B13" s="6" t="inlineStr">
        <is>
          <t>Gift voucher graphic</t>
        </is>
      </c>
      <c r="C13" s="6" t="inlineStr">
        <is>
          <t>shop.html:214</t>
        </is>
      </c>
      <c r="D13" s="6" t="inlineStr">
        <is>
          <t>Design, not photo</t>
        </is>
      </c>
      <c r="E13" s="6" t="inlineStr">
        <is>
          <t>1200x750 — branded graphic.</t>
        </is>
      </c>
    </row>
    <row r="14">
      <c r="A14" s="4" t="inlineStr">
        <is>
          <t>P3</t>
        </is>
      </c>
      <c r="B14" s="6" t="inlineStr">
        <is>
          <t>News article covers x6</t>
        </is>
      </c>
      <c r="C14" s="6" t="inlineStr">
        <is>
          <t>news.html:126-171</t>
        </is>
      </c>
      <c r="D14" s="6" t="inlineStr">
        <is>
          <t>New — needs prompts</t>
        </is>
      </c>
      <c r="E14" s="6" t="inlineStr">
        <is>
          <t>700x440 — 'sitting' and 'slipdisc' could reuse existing conditions images instead.</t>
        </is>
      </c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2026-07-16T04:33:32Z</dcterms:created>
  <dcterms:modified xsi:type="dcterms:W3CDTF">2026-07-16T04:33:32Z</dcterms:modified>
</cp:coreProperties>
</file>